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100 Days Plan" sheetId="2" state="visible" r:id="rId2"/>
    <sheet xmlns:r="http://schemas.openxmlformats.org/officeDocument/2006/relationships" name="Pattern Cheatsheet" sheetId="3" state="visible" r:id="rId3"/>
    <sheet xmlns:r="http://schemas.openxmlformats.org/officeDocument/2006/relationships" name="Sheet Corrections" sheetId="4" state="visible" r:id="rId4"/>
  </sheets>
  <definedNames>
    <definedName name="_xlnm._FilterDatabase" localSheetId="1" hidden="1">'100 Days Plan'!$A$1:$Y$113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"/>
    <numFmt numFmtId="165" formatCode="yyyy-mm-dd"/>
    <numFmt numFmtId="166" formatCode="dd-mmm-yyyy"/>
    <numFmt numFmtId="167" formatCode="0.0%"/>
    <numFmt numFmtId="168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b val="1"/>
      <i val="1"/>
      <sz val="10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</font>
    <font>
      <name val="Arial"/>
      <b val="1"/>
      <color rgb="000000FF"/>
    </font>
    <font>
      <name val="Arial"/>
      <i val="1"/>
      <color rgb="00595959"/>
      <sz val="9"/>
    </font>
    <font>
      <name val="Arial"/>
    </font>
    <font>
      <name val="Arial"/>
      <b val="1"/>
      <color rgb="001F3864"/>
      <sz val="12"/>
    </font>
    <font>
      <name val="Consolas"/>
      <sz val="10"/>
    </font>
  </fonts>
  <fills count="1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EEAF6"/>
        <bgColor rgb="00DEEAF6"/>
      </patternFill>
    </fill>
    <fill>
      <patternFill patternType="solid">
        <fgColor rgb="00FFFDE7"/>
        <bgColor rgb="00FFFDE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DE7F6"/>
        <bgColor rgb="00EDE7F6"/>
      </patternFill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  <fill>
      <patternFill patternType="solid">
        <fgColor rgb="00F1F8E9"/>
        <bgColor rgb="00F1F8E9"/>
      </patternFill>
    </fill>
    <fill>
      <patternFill patternType="solid">
        <fgColor rgb="00FFEBEE"/>
        <bgColor rgb="00FFEBEE"/>
      </patternFill>
    </fill>
    <fill>
      <patternFill patternType="solid">
        <fgColor rgb="00ECEFF1"/>
        <bgColor rgb="00ECEFF1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6" fontId="9" fillId="18" borderId="1" pivotButton="0" quotePrefix="0" xfId="0"/>
    <xf numFmtId="0" fontId="10" fillId="0" borderId="0" pivotButton="0" quotePrefix="0" xfId="0"/>
    <xf numFmtId="166" fontId="11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1" pivotButton="0" quotePrefix="0" xfId="0"/>
    <xf numFmtId="0" fontId="8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7" fontId="8" fillId="0" borderId="1" pivotButton="0" quotePrefix="0" xfId="0"/>
    <xf numFmtId="168" fontId="8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9" fontId="11" fillId="0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0" fontId="8" fillId="8" borderId="1" pivotButton="0" quotePrefix="0" xfId="0"/>
    <xf numFmtId="0" fontId="8" fillId="9" borderId="1" pivotButton="0" quotePrefix="0" xfId="0"/>
    <xf numFmtId="0" fontId="8" fillId="10" borderId="1" pivotButton="0" quotePrefix="0" xfId="0"/>
    <xf numFmtId="0" fontId="8" fillId="11" borderId="1" pivotButton="0" quotePrefix="0" xfId="0"/>
    <xf numFmtId="0" fontId="8" fillId="12" borderId="1" pivotButton="0" quotePrefix="0" xfId="0"/>
    <xf numFmtId="0" fontId="8" fillId="13" borderId="1" pivotButton="0" quotePrefix="0" xfId="0"/>
    <xf numFmtId="0" fontId="8" fillId="14" borderId="1" pivotButton="0" quotePrefix="0" xfId="0"/>
    <xf numFmtId="0" fontId="8" fillId="15" borderId="1" pivotButton="0" quotePrefix="0" xfId="0"/>
    <xf numFmtId="0" fontId="8" fillId="16" borderId="1" pivotButton="0" quotePrefix="0" xfId="0"/>
    <xf numFmtId="0" fontId="8" fillId="17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4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4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164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164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4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164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164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4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164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4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name val="Arial"/>
        <b val="1"/>
      </font>
      <fill>
        <patternFill patternType="solid">
          <fgColor rgb="00C6EFCE"/>
          <bgColor rgb="00C6EFCE"/>
        </patternFill>
      </fill>
    </dxf>
    <dxf>
      <font>
        <name val="Arial"/>
        <b val="1"/>
      </font>
      <fill>
        <patternFill patternType="solid">
          <fgColor rgb="00FFEB9C"/>
          <bgColor rgb="00FFEB9C"/>
        </patternFill>
      </fill>
    </dxf>
    <dxf>
      <font>
        <name val="Arial"/>
        <b val="1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00B050"/>
      </font>
    </dxf>
    <dxf>
      <font>
        <name val="Arial"/>
        <b val="1"/>
        <color rgb="00C65911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/><Relationship Type="http://schemas.openxmlformats.org/officeDocument/2006/relationships/hyperlink" Target="https://leetcode.com/problems/contains-duplicate/" TargetMode="External" Id="rId2"/><Relationship Type="http://schemas.openxmlformats.org/officeDocument/2006/relationships/hyperlink" Target="https://leetcode.com/problems/best-time-to-buy-and-sell-stock/" TargetMode="External" Id="rId3"/><Relationship Type="http://schemas.openxmlformats.org/officeDocument/2006/relationships/hyperlink" Target="https://leetcode.com/problems/move-zeroes/" TargetMode="External" Id="rId4"/><Relationship Type="http://schemas.openxmlformats.org/officeDocument/2006/relationships/hyperlink" Target="https://leetcode.com/problems/merge-sorted-array/" TargetMode="External" Id="rId5"/><Relationship Type="http://schemas.openxmlformats.org/officeDocument/2006/relationships/hyperlink" Target="https://leetcode.com/problems/majority-element/" TargetMode="External" Id="rId6"/><Relationship Type="http://schemas.openxmlformats.org/officeDocument/2006/relationships/hyperlink" Target="https://leetcode.com/problems/maximum-subarray/" TargetMode="External" Id="rId7"/><Relationship Type="http://schemas.openxmlformats.org/officeDocument/2006/relationships/hyperlink" Target="https://leetcode.com/problems/product-of-array-except-self/" TargetMode="External" Id="rId8"/><Relationship Type="http://schemas.openxmlformats.org/officeDocument/2006/relationships/hyperlink" Target="https://leetcode.com/problems/sort-colors/" TargetMode="External" Id="rId9"/><Relationship Type="http://schemas.openxmlformats.org/officeDocument/2006/relationships/hyperlink" Target="https://leetcode.com/problems/rotate-array/" TargetMode="External" Id="rId10"/><Relationship Type="http://schemas.openxmlformats.org/officeDocument/2006/relationships/hyperlink" Target="https://leetcode.com/problems/valid-palindrome/" TargetMode="External" Id="rId11"/><Relationship Type="http://schemas.openxmlformats.org/officeDocument/2006/relationships/hyperlink" Target="https://leetcode.com/problems/valid-anagram/" TargetMode="External" Id="rId12"/><Relationship Type="http://schemas.openxmlformats.org/officeDocument/2006/relationships/hyperlink" Target="https://leetcode.com/problems/longest-common-prefix/" TargetMode="External" Id="rId13"/><Relationship Type="http://schemas.openxmlformats.org/officeDocument/2006/relationships/hyperlink" Target="https://leetcode.com/problems/group-anagrams/" TargetMode="External" Id="rId14"/><Relationship Type="http://schemas.openxmlformats.org/officeDocument/2006/relationships/hyperlink" Target="https://leetcode.com/problems/string-compression/" TargetMode="External" Id="rId15"/><Relationship Type="http://schemas.openxmlformats.org/officeDocument/2006/relationships/hyperlink" Target="https://leetcode.com/problems/longest-palindromic-substring/" TargetMode="External" Id="rId16"/><Relationship Type="http://schemas.openxmlformats.org/officeDocument/2006/relationships/hyperlink" Target="https://leetcode.com/problems/remove-duplicates-from-sorted-array/" TargetMode="External" Id="rId17"/><Relationship Type="http://schemas.openxmlformats.org/officeDocument/2006/relationships/hyperlink" Target="https://leetcode.com/problems/container-with-most-water/" TargetMode="External" Id="rId18"/><Relationship Type="http://schemas.openxmlformats.org/officeDocument/2006/relationships/hyperlink" Target="https://leetcode.com/problems/3sum/" TargetMode="External" Id="rId19"/><Relationship Type="http://schemas.openxmlformats.org/officeDocument/2006/relationships/hyperlink" Target="https://leetcode.com/problems/maximum-average-subarray-i/" TargetMode="External" Id="rId20"/><Relationship Type="http://schemas.openxmlformats.org/officeDocument/2006/relationships/hyperlink" Target="https://leetcode.com/problems/longest-substring-without-repeating-characters/" TargetMode="External" Id="rId21"/><Relationship Type="http://schemas.openxmlformats.org/officeDocument/2006/relationships/hyperlink" Target="https://leetcode.com/problems/longest-repeating-character-replacement/" TargetMode="External" Id="rId22"/><Relationship Type="http://schemas.openxmlformats.org/officeDocument/2006/relationships/hyperlink" Target="https://leetcode.com/problems/minimum-window-substring/" TargetMode="External" Id="rId23"/><Relationship Type="http://schemas.openxmlformats.org/officeDocument/2006/relationships/hyperlink" Target="https://leetcode.com/problems/trapping-rain-water/" TargetMode="External" Id="rId24"/><Relationship Type="http://schemas.openxmlformats.org/officeDocument/2006/relationships/hyperlink" Target="https://leetcode.com/problems/subarray-sum-equals-k/" TargetMode="External" Id="rId25"/><Relationship Type="http://schemas.openxmlformats.org/officeDocument/2006/relationships/hyperlink" Target="https://leetcode.com/problems/range-sum-query-immutable/" TargetMode="External" Id="rId26"/><Relationship Type="http://schemas.openxmlformats.org/officeDocument/2006/relationships/hyperlink" Target="https://leetcode.com/problems/longest-consecutive-sequence/" TargetMode="External" Id="rId27"/><Relationship Type="http://schemas.openxmlformats.org/officeDocument/2006/relationships/hyperlink" Target="https://leetcode.com/problems/top-k-frequent-elements/" TargetMode="External" Id="rId28"/><Relationship Type="http://schemas.openxmlformats.org/officeDocument/2006/relationships/hyperlink" Target="https://www.google.com/search?q=GeeksforGeeks+Longest+Sub-Array+with+Sum+K+practice" TargetMode="External" Id="rId29"/><Relationship Type="http://schemas.openxmlformats.org/officeDocument/2006/relationships/hyperlink" Target="https://leetcode.com/problems/count-number-of-nice-subarrays/" TargetMode="External" Id="rId30"/><Relationship Type="http://schemas.openxmlformats.org/officeDocument/2006/relationships/hyperlink" Target="https://leetcode.com/problems/contiguous-array/" TargetMode="External" Id="rId31"/><Relationship Type="http://schemas.openxmlformats.org/officeDocument/2006/relationships/hyperlink" Target="https://leetcode.com/problems/reverse-linked-list/" TargetMode="External" Id="rId32"/><Relationship Type="http://schemas.openxmlformats.org/officeDocument/2006/relationships/hyperlink" Target="https://leetcode.com/problems/middle-of-the-linked-list/" TargetMode="External" Id="rId33"/><Relationship Type="http://schemas.openxmlformats.org/officeDocument/2006/relationships/hyperlink" Target="https://leetcode.com/problems/linked-list-cycle/" TargetMode="External" Id="rId34"/><Relationship Type="http://schemas.openxmlformats.org/officeDocument/2006/relationships/hyperlink" Target="https://leetcode.com/problems/linked-list-cycle-ii/" TargetMode="External" Id="rId35"/><Relationship Type="http://schemas.openxmlformats.org/officeDocument/2006/relationships/hyperlink" Target="https://leetcode.com/problems/merge-two-sorted-lists/" TargetMode="External" Id="rId36"/><Relationship Type="http://schemas.openxmlformats.org/officeDocument/2006/relationships/hyperlink" Target="https://leetcode.com/problems/remove-nth-node-from-end-of-list/" TargetMode="External" Id="rId37"/><Relationship Type="http://schemas.openxmlformats.org/officeDocument/2006/relationships/hyperlink" Target="https://leetcode.com/problems/intersection-of-two-linked-lists/" TargetMode="External" Id="rId38"/><Relationship Type="http://schemas.openxmlformats.org/officeDocument/2006/relationships/hyperlink" Target="https://leetcode.com/problems/palindrome-linked-list/" TargetMode="External" Id="rId39"/><Relationship Type="http://schemas.openxmlformats.org/officeDocument/2006/relationships/hyperlink" Target="https://leetcode.com/problems/valid-parentheses/" TargetMode="External" Id="rId40"/><Relationship Type="http://schemas.openxmlformats.org/officeDocument/2006/relationships/hyperlink" Target="https://leetcode.com/problems/min-stack/" TargetMode="External" Id="rId41"/><Relationship Type="http://schemas.openxmlformats.org/officeDocument/2006/relationships/hyperlink" Target="https://leetcode.com/problems/implement-queue-using-stacks/" TargetMode="External" Id="rId42"/><Relationship Type="http://schemas.openxmlformats.org/officeDocument/2006/relationships/hyperlink" Target="https://leetcode.com/problems/implement-stack-using-queues/" TargetMode="External" Id="rId43"/><Relationship Type="http://schemas.openxmlformats.org/officeDocument/2006/relationships/hyperlink" Target="https://leetcode.com/problems/evaluate-reverse-polish-notation/" TargetMode="External" Id="rId44"/><Relationship Type="http://schemas.openxmlformats.org/officeDocument/2006/relationships/hyperlink" Target="https://leetcode.com/problems/next-greater-element-i/" TargetMode="External" Id="rId45"/><Relationship Type="http://schemas.openxmlformats.org/officeDocument/2006/relationships/hyperlink" Target="https://leetcode.com/problems/daily-temperatures/" TargetMode="External" Id="rId46"/><Relationship Type="http://schemas.openxmlformats.org/officeDocument/2006/relationships/hyperlink" Target="https://leetcode.com/problems/largest-rectangle-in-histogram/" TargetMode="External" Id="rId47"/><Relationship Type="http://schemas.openxmlformats.org/officeDocument/2006/relationships/hyperlink" Target="https://leetcode.com/problems/sliding-window-maximum/" TargetMode="External" Id="rId48"/><Relationship Type="http://schemas.openxmlformats.org/officeDocument/2006/relationships/hyperlink" Target="https://leetcode.com/problems/binary-search/" TargetMode="External" Id="rId49"/><Relationship Type="http://schemas.openxmlformats.org/officeDocument/2006/relationships/hyperlink" Target="https://leetcode.com/problems/find-first-and-last-position-of-element-in-sorted-array/" TargetMode="External" Id="rId50"/><Relationship Type="http://schemas.openxmlformats.org/officeDocument/2006/relationships/hyperlink" Target="https://leetcode.com/problems/sqrtx/" TargetMode="External" Id="rId51"/><Relationship Type="http://schemas.openxmlformats.org/officeDocument/2006/relationships/hyperlink" Target="https://leetcode.com/problems/search-in-rotated-sorted-array/" TargetMode="External" Id="rId52"/><Relationship Type="http://schemas.openxmlformats.org/officeDocument/2006/relationships/hyperlink" Target="https://leetcode.com/problems/find-minimum-in-rotated-sorted-array/" TargetMode="External" Id="rId53"/><Relationship Type="http://schemas.openxmlformats.org/officeDocument/2006/relationships/hyperlink" Target="https://leetcode.com/problems/find-peak-element/" TargetMode="External" Id="rId54"/><Relationship Type="http://schemas.openxmlformats.org/officeDocument/2006/relationships/hyperlink" Target="https://leetcode.com/problems/search-a-2d-matrix-ii/" TargetMode="External" Id="rId55"/><Relationship Type="http://schemas.openxmlformats.org/officeDocument/2006/relationships/hyperlink" Target="https://leetcode.com/problems/koko-eating-bananas/" TargetMode="External" Id="rId56"/><Relationship Type="http://schemas.openxmlformats.org/officeDocument/2006/relationships/hyperlink" Target="https://leetcode.com/problems/capacity-to-ship-packages-within-d-days/" TargetMode="External" Id="rId57"/><Relationship Type="http://schemas.openxmlformats.org/officeDocument/2006/relationships/hyperlink" Target="https://leetcode.com/problems/binary-tree-inorder-traversal/" TargetMode="External" Id="rId58"/><Relationship Type="http://schemas.openxmlformats.org/officeDocument/2006/relationships/hyperlink" Target="https://leetcode.com/problems/maximum-depth-of-binary-tree/" TargetMode="External" Id="rId59"/><Relationship Type="http://schemas.openxmlformats.org/officeDocument/2006/relationships/hyperlink" Target="https://leetcode.com/problems/invert-binary-tree/" TargetMode="External" Id="rId60"/><Relationship Type="http://schemas.openxmlformats.org/officeDocument/2006/relationships/hyperlink" Target="https://leetcode.com/problems/binary-tree-level-order-traversal/" TargetMode="External" Id="rId61"/><Relationship Type="http://schemas.openxmlformats.org/officeDocument/2006/relationships/hyperlink" Target="https://leetcode.com/problems/diameter-of-binary-tree/" TargetMode="External" Id="rId62"/><Relationship Type="http://schemas.openxmlformats.org/officeDocument/2006/relationships/hyperlink" Target="https://leetcode.com/problems/balanced-binary-tree/" TargetMode="External" Id="rId63"/><Relationship Type="http://schemas.openxmlformats.org/officeDocument/2006/relationships/hyperlink" Target="https://leetcode.com/problems/validate-binary-search-tree/" TargetMode="External" Id="rId64"/><Relationship Type="http://schemas.openxmlformats.org/officeDocument/2006/relationships/hyperlink" Target="https://leetcode.com/problems/kth-smallest-element-in-a-bst/" TargetMode="External" Id="rId65"/><Relationship Type="http://schemas.openxmlformats.org/officeDocument/2006/relationships/hyperlink" Target="https://leetcode.com/problems/lowest-common-ancestor-of-a-binary-tree/" TargetMode="External" Id="rId66"/><Relationship Type="http://schemas.openxmlformats.org/officeDocument/2006/relationships/hyperlink" Target="https://leetcode.com/problems/last-stone-weight/" TargetMode="External" Id="rId67"/><Relationship Type="http://schemas.openxmlformats.org/officeDocument/2006/relationships/hyperlink" Target="https://leetcode.com/problems/kth-largest-element-in-an-array/" TargetMode="External" Id="rId68"/><Relationship Type="http://schemas.openxmlformats.org/officeDocument/2006/relationships/hyperlink" Target="https://leetcode.com/problems/k-closest-points-to-origin/" TargetMode="External" Id="rId69"/><Relationship Type="http://schemas.openxmlformats.org/officeDocument/2006/relationships/hyperlink" Target="https://www.google.com/search?q=GeeksforGeeks+Nearly+sorted+array+k+sorted+practice" TargetMode="External" Id="rId70"/><Relationship Type="http://schemas.openxmlformats.org/officeDocument/2006/relationships/hyperlink" Target="https://leetcode.com/problems/merge-k-sorted-lists/" TargetMode="External" Id="rId71"/><Relationship Type="http://schemas.openxmlformats.org/officeDocument/2006/relationships/hyperlink" Target="https://leetcode.com/problems/find-median-from-data-stream/" TargetMode="External" Id="rId72"/><Relationship Type="http://schemas.openxmlformats.org/officeDocument/2006/relationships/hyperlink" Target="https://leetcode.com/problems/number-of-islands/" TargetMode="External" Id="rId73"/><Relationship Type="http://schemas.openxmlformats.org/officeDocument/2006/relationships/hyperlink" Target="https://leetcode.com/problems/flood-fill/" TargetMode="External" Id="rId74"/><Relationship Type="http://schemas.openxmlformats.org/officeDocument/2006/relationships/hyperlink" Target="https://leetcode.com/problems/clone-graph/" TargetMode="External" Id="rId75"/><Relationship Type="http://schemas.openxmlformats.org/officeDocument/2006/relationships/hyperlink" Target="https://leetcode.com/problems/number-of-provinces/" TargetMode="External" Id="rId76"/><Relationship Type="http://schemas.openxmlformats.org/officeDocument/2006/relationships/hyperlink" Target="https://www.google.com/search?q=GeeksforGeeks+Detect+cycle+in+an+undirected+graph+practice" TargetMode="External" Id="rId77"/><Relationship Type="http://schemas.openxmlformats.org/officeDocument/2006/relationships/hyperlink" Target="https://leetcode.com/problems/course-schedule/" TargetMode="External" Id="rId78"/><Relationship Type="http://schemas.openxmlformats.org/officeDocument/2006/relationships/hyperlink" Target="https://leetcode.com/problems/course-schedule-ii/" TargetMode="External" Id="rId79"/><Relationship Type="http://schemas.openxmlformats.org/officeDocument/2006/relationships/hyperlink" Target="https://leetcode.com/problems/rotting-oranges/" TargetMode="External" Id="rId80"/><Relationship Type="http://schemas.openxmlformats.org/officeDocument/2006/relationships/hyperlink" Target="https://leetcode.com/problems/is-graph-bipartite/" TargetMode="External" Id="rId81"/><Relationship Type="http://schemas.openxmlformats.org/officeDocument/2006/relationships/hyperlink" Target="https://leetcode.com/problems/shortest-path-in-binary-matrix/" TargetMode="External" Id="rId82"/><Relationship Type="http://schemas.openxmlformats.org/officeDocument/2006/relationships/hyperlink" Target="https://leetcode.com/problems/network-delay-time/" TargetMode="External" Id="rId83"/><Relationship Type="http://schemas.openxmlformats.org/officeDocument/2006/relationships/hyperlink" Target="https://www.google.com/search?q=GeeksforGeeks+Bellman-Ford+distance+from+the+source+practice" TargetMode="External" Id="rId84"/><Relationship Type="http://schemas.openxmlformats.org/officeDocument/2006/relationships/hyperlink" Target="https://leetcode.com/problems/cheapest-flights-within-k-stops/" TargetMode="External" Id="rId85"/><Relationship Type="http://schemas.openxmlformats.org/officeDocument/2006/relationships/hyperlink" Target="https://leetcode.com/problems/min-cost-to-connect-all-points/" TargetMode="External" Id="rId86"/><Relationship Type="http://schemas.openxmlformats.org/officeDocument/2006/relationships/hyperlink" Target="https://leetcode.com/problems/redundant-connection/" TargetMode="External" Id="rId87"/><Relationship Type="http://schemas.openxmlformats.org/officeDocument/2006/relationships/hyperlink" Target="https://leetcode.com/problems/critical-connections-in-a-network/" TargetMode="External" Id="rId88"/><Relationship Type="http://schemas.openxmlformats.org/officeDocument/2006/relationships/hyperlink" Target="https://www.google.com/search?q=GeeksforGeeks+Articulation+Point+practice" TargetMode="External" Id="rId89"/><Relationship Type="http://schemas.openxmlformats.org/officeDocument/2006/relationships/hyperlink" Target="https://www.google.com/search?q=GeeksforGeeks+Activity+Selection+N+meetings+in+one+room+practice" TargetMode="External" Id="rId90"/><Relationship Type="http://schemas.openxmlformats.org/officeDocument/2006/relationships/hyperlink" Target="https://leetcode.com/problems/non-overlapping-intervals/" TargetMode="External" Id="rId91"/><Relationship Type="http://schemas.openxmlformats.org/officeDocument/2006/relationships/hyperlink" Target="https://www.google.com/search?q=GeeksforGeeks+Fractional+Knapsack+practice" TargetMode="External" Id="rId92"/><Relationship Type="http://schemas.openxmlformats.org/officeDocument/2006/relationships/hyperlink" Target="https://leetcode.com/problems/merge-intervals/" TargetMode="External" Id="rId93"/><Relationship Type="http://schemas.openxmlformats.org/officeDocument/2006/relationships/hyperlink" Target="https://leetcode.com/problems/jump-game-ii/" TargetMode="External" Id="rId94"/><Relationship Type="http://schemas.openxmlformats.org/officeDocument/2006/relationships/hyperlink" Target="https://leetcode.com/problems/jump-game/" TargetMode="External" Id="rId95"/><Relationship Type="http://schemas.openxmlformats.org/officeDocument/2006/relationships/hyperlink" Target="https://www.google.com/search?q=GeeksforGeeks+Minimum+Cost+of+ropes+practice" TargetMode="External" Id="rId96"/><Relationship Type="http://schemas.openxmlformats.org/officeDocument/2006/relationships/hyperlink" Target="https://leetcode.com/problems/gas-station/" TargetMode="External" Id="rId97"/><Relationship Type="http://schemas.openxmlformats.org/officeDocument/2006/relationships/hyperlink" Target="https://www.google.com/search?q=GeeksforGeeks+Minimum+number+of+coins+greedy+practice" TargetMode="External" Id="rId98"/><Relationship Type="http://schemas.openxmlformats.org/officeDocument/2006/relationships/hyperlink" Target="https://leetcode.com/problems/climbing-stairs/" TargetMode="External" Id="rId99"/><Relationship Type="http://schemas.openxmlformats.org/officeDocument/2006/relationships/hyperlink" Target="https://leetcode.com/problems/house-robber/" TargetMode="External" Id="rId100"/><Relationship Type="http://schemas.openxmlformats.org/officeDocument/2006/relationships/hyperlink" Target="https://leetcode.com/problems/unique-paths/" TargetMode="External" Id="rId101"/><Relationship Type="http://schemas.openxmlformats.org/officeDocument/2006/relationships/hyperlink" Target="https://leetcode.com/problems/coin-change/" TargetMode="External" Id="rId102"/><Relationship Type="http://schemas.openxmlformats.org/officeDocument/2006/relationships/hyperlink" Target="https://leetcode.com/problems/coin-change-ii/" TargetMode="External" Id="rId103"/><Relationship Type="http://schemas.openxmlformats.org/officeDocument/2006/relationships/hyperlink" Target="https://www.google.com/search?q=GeeksforGeeks+0+-+1+Knapsack+Problem+practice" TargetMode="External" Id="rId104"/><Relationship Type="http://schemas.openxmlformats.org/officeDocument/2006/relationships/hyperlink" Target="https://leetcode.com/problems/partition-equal-subset-sum/" TargetMode="External" Id="rId105"/><Relationship Type="http://schemas.openxmlformats.org/officeDocument/2006/relationships/hyperlink" Target="https://leetcode.com/problems/longest-increasing-subsequence/" TargetMode="External" Id="rId106"/><Relationship Type="http://schemas.openxmlformats.org/officeDocument/2006/relationships/hyperlink" Target="https://leetcode.com/problems/longest-common-subsequence/" TargetMode="External" Id="rId107"/><Relationship Type="http://schemas.openxmlformats.org/officeDocument/2006/relationships/hyperlink" Target="https://leetcode.com/problems/edit-distance/" TargetMode="External" Id="rId108"/><Relationship Type="http://schemas.openxmlformats.org/officeDocument/2006/relationships/hyperlink" Target="https://leetcode.com/problems/lru-cache/" TargetMode="External" Id="rId109"/><Relationship Type="http://schemas.openxmlformats.org/officeDocument/2006/relationships/hyperlink" Target="https://leetcode.com/problems/subsets/" TargetMode="External" Id="rId110"/><Relationship Type="http://schemas.openxmlformats.org/officeDocument/2006/relationships/hyperlink" Target="https://leetcode.com/problems/permutations/" TargetMode="External" Id="rId111"/><Relationship Type="http://schemas.openxmlformats.org/officeDocument/2006/relationships/hyperlink" Target="https://leetcode.com/problems/word-search/" TargetMode="External" Id="rId1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7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100 DAYS DSA SERIES — 100 Days · 100+ Problems</t>
        </is>
      </c>
    </row>
    <row r="3">
      <c r="B3" s="2" t="inlineStr">
        <is>
          <t>Based on 'Most Asked DSA Interview Questions (0-3 YOE, 5-20 LPA)' — 13 topic pages, cleaned, de-duplicated, gaps filled.</t>
        </is>
      </c>
    </row>
    <row r="5">
      <c r="B5" s="3" t="inlineStr">
        <is>
          <t>Start Date (edit me)</t>
        </is>
      </c>
      <c r="C5" s="4" t="n">
        <v>46289</v>
      </c>
      <c r="D5" s="5" t="inlineStr">
        <is>
          <t>← all Planned Dates in the plan update from this cell</t>
        </is>
      </c>
    </row>
    <row r="6">
      <c r="B6" s="3" t="inlineStr">
        <is>
          <t>Planned End Date</t>
        </is>
      </c>
      <c r="C6" s="6">
        <f>C5+99</f>
        <v/>
      </c>
    </row>
    <row r="7">
      <c r="B7" s="3" t="inlineStr">
        <is>
          <t>Today's Day #</t>
        </is>
      </c>
      <c r="C7" s="7">
        <f>IF(TODAY()&lt;C5,"Not started",MIN(100,TODAY()-C5+1))</f>
        <v/>
      </c>
    </row>
    <row r="9">
      <c r="B9" s="8" t="inlineStr">
        <is>
          <t>OVERALL PROGRESS</t>
        </is>
      </c>
      <c r="E9" s="8" t="inlineStr">
        <is>
          <t>BY DIFFICULTY</t>
        </is>
      </c>
    </row>
    <row r="10">
      <c r="B10" s="9" t="inlineStr">
        <is>
          <t>Total problems</t>
        </is>
      </c>
      <c r="C10" s="10">
        <f>COUNTA('100 Days Plan'!F2:F113)</f>
        <v/>
      </c>
      <c r="E10" s="11" t="inlineStr">
        <is>
          <t>Difficulty</t>
        </is>
      </c>
      <c r="F10" s="11" t="inlineStr">
        <is>
          <t>Total</t>
        </is>
      </c>
      <c r="G10" s="11" t="inlineStr">
        <is>
          <t>Done</t>
        </is>
      </c>
    </row>
    <row r="11">
      <c r="B11" s="9" t="inlineStr">
        <is>
          <t>Main problems (1 per day)</t>
        </is>
      </c>
      <c r="C11" s="10">
        <f>COUNTIF('100 Days Plan'!E2:E113,"Main")</f>
        <v/>
      </c>
      <c r="E11" s="12" t="inlineStr">
        <is>
          <t>Easy</t>
        </is>
      </c>
      <c r="F11" s="12">
        <f>COUNTIF('100 Days Plan'!J2:J113,E11)</f>
        <v/>
      </c>
      <c r="G11" s="12">
        <f>COUNTIFS('100 Days Plan'!J2:J113,E11,'100 Days Plan'!T2:T113,"Done")</f>
        <v/>
      </c>
    </row>
    <row r="12">
      <c r="B12" s="9" t="inlineStr">
        <is>
          <t>Bonus problems</t>
        </is>
      </c>
      <c r="C12" s="10">
        <f>COUNTIF('100 Days Plan'!E2:E113,"Bonus")</f>
        <v/>
      </c>
      <c r="E12" s="12" t="inlineStr">
        <is>
          <t>Medium</t>
        </is>
      </c>
      <c r="F12" s="12">
        <f>COUNTIF('100 Days Plan'!J2:J113,E12)</f>
        <v/>
      </c>
      <c r="G12" s="12">
        <f>COUNTIFS('100 Days Plan'!J2:J113,E12,'100 Days Plan'!T2:T113,"Done")</f>
        <v/>
      </c>
    </row>
    <row r="13">
      <c r="B13" s="9" t="inlineStr">
        <is>
          <t>Solved (Done)</t>
        </is>
      </c>
      <c r="C13" s="10">
        <f>COUNTIF('100 Days Plan'!T2:T113,"Done")</f>
        <v/>
      </c>
      <c r="E13" s="12" t="inlineStr">
        <is>
          <t>Hard</t>
        </is>
      </c>
      <c r="F13" s="12">
        <f>COUNTIF('100 Days Plan'!J2:J113,E13)</f>
        <v/>
      </c>
      <c r="G13" s="12">
        <f>COUNTIFS('100 Days Plan'!J2:J113,E13,'100 Days Plan'!T2:T113,"Done")</f>
        <v/>
      </c>
    </row>
    <row r="14">
      <c r="B14" s="9" t="inlineStr">
        <is>
          <t>In Progress</t>
        </is>
      </c>
      <c r="C14" s="10">
        <f>COUNTIF('100 Days Plan'!T2:T113,"In Progress")</f>
        <v/>
      </c>
    </row>
    <row r="15">
      <c r="B15" s="9" t="inlineStr">
        <is>
          <t>Marked for Revision</t>
        </is>
      </c>
      <c r="C15" s="10">
        <f>COUNTIF('100 Days Plan'!T2:T113,"Revise")</f>
        <v/>
      </c>
    </row>
    <row r="16">
      <c r="B16" s="9" t="inlineStr">
        <is>
          <t>% Complete</t>
        </is>
      </c>
      <c r="C16" s="13">
        <f>IFERROR(C13/C10,0)</f>
        <v/>
      </c>
    </row>
    <row r="17">
      <c r="B17" s="9" t="inlineStr">
        <is>
          <t>Avg Confidence (1-5)</t>
        </is>
      </c>
      <c r="C17" s="14">
        <f>IFERROR(AVERAGE('100 Days Plan'!W2:W113),"-")</f>
        <v/>
      </c>
    </row>
    <row r="18">
      <c r="B18" s="9" t="inlineStr">
        <is>
          <t>Total Time Spent (hrs)</t>
        </is>
      </c>
      <c r="C18" s="14">
        <f>SUM('100 Days Plan'!V2:V113)/60</f>
        <v/>
      </c>
    </row>
    <row r="20">
      <c r="B20" s="8" t="inlineStr">
        <is>
          <t>PROGRESS BY TOPIC</t>
        </is>
      </c>
    </row>
    <row r="21">
      <c r="B21" s="15" t="inlineStr">
        <is>
          <t>Topic / Concept</t>
        </is>
      </c>
      <c r="C21" s="15" t="inlineStr">
        <is>
          <t>Days</t>
        </is>
      </c>
      <c r="D21" s="15" t="inlineStr">
        <is>
          <t>Problems</t>
        </is>
      </c>
      <c r="E21" s="15" t="inlineStr">
        <is>
          <t>Done</t>
        </is>
      </c>
      <c r="F21" s="15" t="inlineStr">
        <is>
          <t>Progress</t>
        </is>
      </c>
      <c r="G21" s="15" t="inlineStr">
        <is>
          <t>Easy / Med / Hard</t>
        </is>
      </c>
    </row>
    <row r="22">
      <c r="B22" s="16" t="inlineStr">
        <is>
          <t>Arrays</t>
        </is>
      </c>
      <c r="C22" s="12" t="inlineStr">
        <is>
          <t>Day 1–8</t>
        </is>
      </c>
      <c r="D22" s="12">
        <f>COUNTIF('100 Days Plan'!D2:D113,B22)</f>
        <v/>
      </c>
      <c r="E22" s="12">
        <f>COUNTIFS('100 Days Plan'!D2:D113,B22,'100 Days Plan'!T2:T113,"Done")</f>
        <v/>
      </c>
      <c r="F22" s="17">
        <f>IFERROR(E22/D22,0)</f>
        <v/>
      </c>
      <c r="G22" s="12">
        <f>COUNTIFS('100 Days Plan'!D2:D113,B22,'100 Days Plan'!J2:J113,"Easy")&amp;" / "&amp;COUNTIFS('100 Days Plan'!D2:D113,B22,'100 Days Plan'!J2:J113,"Medium")&amp;" / "&amp;COUNTIFS('100 Days Plan'!D2:D113,B22,'100 Days Plan'!J2:J113,"Hard")</f>
        <v/>
      </c>
    </row>
    <row r="23">
      <c r="B23" s="18" t="inlineStr">
        <is>
          <t>Strings</t>
        </is>
      </c>
      <c r="C23" s="12" t="inlineStr">
        <is>
          <t>Day 9–14</t>
        </is>
      </c>
      <c r="D23" s="12">
        <f>COUNTIF('100 Days Plan'!D2:D113,B23)</f>
        <v/>
      </c>
      <c r="E23" s="12">
        <f>COUNTIFS('100 Days Plan'!D2:D113,B23,'100 Days Plan'!T2:T113,"Done")</f>
        <v/>
      </c>
      <c r="F23" s="17">
        <f>IFERROR(E23/D23,0)</f>
        <v/>
      </c>
      <c r="G23" s="12">
        <f>COUNTIFS('100 Days Plan'!D2:D113,B23,'100 Days Plan'!J2:J113,"Easy")&amp;" / "&amp;COUNTIFS('100 Days Plan'!D2:D113,B23,'100 Days Plan'!J2:J113,"Medium")&amp;" / "&amp;COUNTIFS('100 Days Plan'!D2:D113,B23,'100 Days Plan'!J2:J113,"Hard")</f>
        <v/>
      </c>
    </row>
    <row r="24">
      <c r="B24" s="19" t="inlineStr">
        <is>
          <t>Two Pointers &amp; Sliding Window</t>
        </is>
      </c>
      <c r="C24" s="12" t="inlineStr">
        <is>
          <t>Day 15–22</t>
        </is>
      </c>
      <c r="D24" s="12">
        <f>COUNTIF('100 Days Plan'!D2:D113,B24)</f>
        <v/>
      </c>
      <c r="E24" s="12">
        <f>COUNTIFS('100 Days Plan'!D2:D113,B24,'100 Days Plan'!T2:T113,"Done")</f>
        <v/>
      </c>
      <c r="F24" s="17">
        <f>IFERROR(E24/D24,0)</f>
        <v/>
      </c>
      <c r="G24" s="12">
        <f>COUNTIFS('100 Days Plan'!D2:D113,B24,'100 Days Plan'!J2:J113,"Easy")&amp;" / "&amp;COUNTIFS('100 Days Plan'!D2:D113,B24,'100 Days Plan'!J2:J113,"Medium")&amp;" / "&amp;COUNTIFS('100 Days Plan'!D2:D113,B24,'100 Days Plan'!J2:J113,"Hard")</f>
        <v/>
      </c>
    </row>
    <row r="25">
      <c r="B25" s="20" t="inlineStr">
        <is>
          <t>Hashing &amp; Prefix Sum</t>
        </is>
      </c>
      <c r="C25" s="12" t="inlineStr">
        <is>
          <t>Day 23–28</t>
        </is>
      </c>
      <c r="D25" s="12">
        <f>COUNTIF('100 Days Plan'!D2:D113,B25)</f>
        <v/>
      </c>
      <c r="E25" s="12">
        <f>COUNTIFS('100 Days Plan'!D2:D113,B25,'100 Days Plan'!T2:T113,"Done")</f>
        <v/>
      </c>
      <c r="F25" s="17">
        <f>IFERROR(E25/D25,0)</f>
        <v/>
      </c>
      <c r="G25" s="12">
        <f>COUNTIFS('100 Days Plan'!D2:D113,B25,'100 Days Plan'!J2:J113,"Easy")&amp;" / "&amp;COUNTIFS('100 Days Plan'!D2:D113,B25,'100 Days Plan'!J2:J113,"Medium")&amp;" / "&amp;COUNTIFS('100 Days Plan'!D2:D113,B25,'100 Days Plan'!J2:J113,"Hard")</f>
        <v/>
      </c>
    </row>
    <row r="26">
      <c r="B26" s="21" t="inlineStr">
        <is>
          <t>Linked List</t>
        </is>
      </c>
      <c r="C26" s="12" t="inlineStr">
        <is>
          <t>Day 29–35</t>
        </is>
      </c>
      <c r="D26" s="12">
        <f>COUNTIF('100 Days Plan'!D2:D113,B26)</f>
        <v/>
      </c>
      <c r="E26" s="12">
        <f>COUNTIFS('100 Days Plan'!D2:D113,B26,'100 Days Plan'!T2:T113,"Done")</f>
        <v/>
      </c>
      <c r="F26" s="17">
        <f>IFERROR(E26/D26,0)</f>
        <v/>
      </c>
      <c r="G26" s="12">
        <f>COUNTIFS('100 Days Plan'!D2:D113,B26,'100 Days Plan'!J2:J113,"Easy")&amp;" / "&amp;COUNTIFS('100 Days Plan'!D2:D113,B26,'100 Days Plan'!J2:J113,"Medium")&amp;" / "&amp;COUNTIFS('100 Days Plan'!D2:D113,B26,'100 Days Plan'!J2:J113,"Hard")</f>
        <v/>
      </c>
    </row>
    <row r="27">
      <c r="B27" s="22" t="inlineStr">
        <is>
          <t>Stacks &amp; Queues</t>
        </is>
      </c>
      <c r="C27" s="12" t="inlineStr">
        <is>
          <t>Day 36–43</t>
        </is>
      </c>
      <c r="D27" s="12">
        <f>COUNTIF('100 Days Plan'!D2:D113,B27)</f>
        <v/>
      </c>
      <c r="E27" s="12">
        <f>COUNTIFS('100 Days Plan'!D2:D113,B27,'100 Days Plan'!T2:T113,"Done")</f>
        <v/>
      </c>
      <c r="F27" s="17">
        <f>IFERROR(E27/D27,0)</f>
        <v/>
      </c>
      <c r="G27" s="12">
        <f>COUNTIFS('100 Days Plan'!D2:D113,B27,'100 Days Plan'!J2:J113,"Easy")&amp;" / "&amp;COUNTIFS('100 Days Plan'!D2:D113,B27,'100 Days Plan'!J2:J113,"Medium")&amp;" / "&amp;COUNTIFS('100 Days Plan'!D2:D113,B27,'100 Days Plan'!J2:J113,"Hard")</f>
        <v/>
      </c>
    </row>
    <row r="28">
      <c r="B28" s="23" t="inlineStr">
        <is>
          <t>Binary Search</t>
        </is>
      </c>
      <c r="C28" s="12" t="inlineStr">
        <is>
          <t>Day 44–50</t>
        </is>
      </c>
      <c r="D28" s="12">
        <f>COUNTIF('100 Days Plan'!D2:D113,B28)</f>
        <v/>
      </c>
      <c r="E28" s="12">
        <f>COUNTIFS('100 Days Plan'!D2:D113,B28,'100 Days Plan'!T2:T113,"Done")</f>
        <v/>
      </c>
      <c r="F28" s="17">
        <f>IFERROR(E28/D28,0)</f>
        <v/>
      </c>
      <c r="G28" s="12">
        <f>COUNTIFS('100 Days Plan'!D2:D113,B28,'100 Days Plan'!J2:J113,"Easy")&amp;" / "&amp;COUNTIFS('100 Days Plan'!D2:D113,B28,'100 Days Plan'!J2:J113,"Medium")&amp;" / "&amp;COUNTIFS('100 Days Plan'!D2:D113,B28,'100 Days Plan'!J2:J113,"Hard")</f>
        <v/>
      </c>
    </row>
    <row r="29">
      <c r="B29" s="24" t="inlineStr">
        <is>
          <t>Trees &amp; BST</t>
        </is>
      </c>
      <c r="C29" s="12" t="inlineStr">
        <is>
          <t>Day 51–59</t>
        </is>
      </c>
      <c r="D29" s="12">
        <f>COUNTIF('100 Days Plan'!D2:D113,B29)</f>
        <v/>
      </c>
      <c r="E29" s="12">
        <f>COUNTIFS('100 Days Plan'!D2:D113,B29,'100 Days Plan'!T2:T113,"Done")</f>
        <v/>
      </c>
      <c r="F29" s="17">
        <f>IFERROR(E29/D29,0)</f>
        <v/>
      </c>
      <c r="G29" s="12">
        <f>COUNTIFS('100 Days Plan'!D2:D113,B29,'100 Days Plan'!J2:J113,"Easy")&amp;" / "&amp;COUNTIFS('100 Days Plan'!D2:D113,B29,'100 Days Plan'!J2:J113,"Medium")&amp;" / "&amp;COUNTIFS('100 Days Plan'!D2:D113,B29,'100 Days Plan'!J2:J113,"Hard")</f>
        <v/>
      </c>
    </row>
    <row r="30">
      <c r="B30" s="25" t="inlineStr">
        <is>
          <t>Heaps / Priority Queue</t>
        </is>
      </c>
      <c r="C30" s="12" t="inlineStr">
        <is>
          <t>Day 60–65</t>
        </is>
      </c>
      <c r="D30" s="12">
        <f>COUNTIF('100 Days Plan'!D2:D113,B30)</f>
        <v/>
      </c>
      <c r="E30" s="12">
        <f>COUNTIFS('100 Days Plan'!D2:D113,B30,'100 Days Plan'!T2:T113,"Done")</f>
        <v/>
      </c>
      <c r="F30" s="17">
        <f>IFERROR(E30/D30,0)</f>
        <v/>
      </c>
      <c r="G30" s="12">
        <f>COUNTIFS('100 Days Plan'!D2:D113,B30,'100 Days Plan'!J2:J113,"Easy")&amp;" / "&amp;COUNTIFS('100 Days Plan'!D2:D113,B30,'100 Days Plan'!J2:J113,"Medium")&amp;" / "&amp;COUNTIFS('100 Days Plan'!D2:D113,B30,'100 Days Plan'!J2:J113,"Hard")</f>
        <v/>
      </c>
    </row>
    <row r="31">
      <c r="B31" s="26" t="inlineStr">
        <is>
          <t>Graphs (BFS / DFS)</t>
        </is>
      </c>
      <c r="C31" s="12" t="inlineStr">
        <is>
          <t>Day 66–73</t>
        </is>
      </c>
      <c r="D31" s="12">
        <f>COUNTIF('100 Days Plan'!D2:D113,B31)</f>
        <v/>
      </c>
      <c r="E31" s="12">
        <f>COUNTIFS('100 Days Plan'!D2:D113,B31,'100 Days Plan'!T2:T113,"Done")</f>
        <v/>
      </c>
      <c r="F31" s="17">
        <f>IFERROR(E31/D31,0)</f>
        <v/>
      </c>
      <c r="G31" s="12">
        <f>COUNTIFS('100 Days Plan'!D2:D113,B31,'100 Days Plan'!J2:J113,"Easy")&amp;" / "&amp;COUNTIFS('100 Days Plan'!D2:D113,B31,'100 Days Plan'!J2:J113,"Medium")&amp;" / "&amp;COUNTIFS('100 Days Plan'!D2:D113,B31,'100 Days Plan'!J2:J113,"Hard")</f>
        <v/>
      </c>
    </row>
    <row r="32">
      <c r="B32" s="27" t="inlineStr">
        <is>
          <t>Graph Algorithms</t>
        </is>
      </c>
      <c r="C32" s="12" t="inlineStr">
        <is>
          <t>Day 74–80</t>
        </is>
      </c>
      <c r="D32" s="12">
        <f>COUNTIF('100 Days Plan'!D2:D113,B32)</f>
        <v/>
      </c>
      <c r="E32" s="12">
        <f>COUNTIFS('100 Days Plan'!D2:D113,B32,'100 Days Plan'!T2:T113,"Done")</f>
        <v/>
      </c>
      <c r="F32" s="17">
        <f>IFERROR(E32/D32,0)</f>
        <v/>
      </c>
      <c r="G32" s="12">
        <f>COUNTIFS('100 Days Plan'!D2:D113,B32,'100 Days Plan'!J2:J113,"Easy")&amp;" / "&amp;COUNTIFS('100 Days Plan'!D2:D113,B32,'100 Days Plan'!J2:J113,"Medium")&amp;" / "&amp;COUNTIFS('100 Days Plan'!D2:D113,B32,'100 Days Plan'!J2:J113,"Hard")</f>
        <v/>
      </c>
    </row>
    <row r="33">
      <c r="B33" s="28" t="inlineStr">
        <is>
          <t>Greedy</t>
        </is>
      </c>
      <c r="C33" s="12" t="inlineStr">
        <is>
          <t>Day 81–87</t>
        </is>
      </c>
      <c r="D33" s="12">
        <f>COUNTIF('100 Days Plan'!D2:D113,B33)</f>
        <v/>
      </c>
      <c r="E33" s="12">
        <f>COUNTIFS('100 Days Plan'!D2:D113,B33,'100 Days Plan'!T2:T113,"Done")</f>
        <v/>
      </c>
      <c r="F33" s="17">
        <f>IFERROR(E33/D33,0)</f>
        <v/>
      </c>
      <c r="G33" s="12">
        <f>COUNTIFS('100 Days Plan'!D2:D113,B33,'100 Days Plan'!J2:J113,"Easy")&amp;" / "&amp;COUNTIFS('100 Days Plan'!D2:D113,B33,'100 Days Plan'!J2:J113,"Medium")&amp;" / "&amp;COUNTIFS('100 Days Plan'!D2:D113,B33,'100 Days Plan'!J2:J113,"Hard")</f>
        <v/>
      </c>
    </row>
    <row r="34">
      <c r="B34" s="29" t="inlineStr">
        <is>
          <t>Dynamic Programming</t>
        </is>
      </c>
      <c r="C34" s="12" t="inlineStr">
        <is>
          <t>Day 88–97</t>
        </is>
      </c>
      <c r="D34" s="12">
        <f>COUNTIF('100 Days Plan'!D2:D113,B34)</f>
        <v/>
      </c>
      <c r="E34" s="12">
        <f>COUNTIFS('100 Days Plan'!D2:D113,B34,'100 Days Plan'!T2:T113,"Done")</f>
        <v/>
      </c>
      <c r="F34" s="17">
        <f>IFERROR(E34/D34,0)</f>
        <v/>
      </c>
      <c r="G34" s="12">
        <f>COUNTIFS('100 Days Plan'!D2:D113,B34,'100 Days Plan'!J2:J113,"Easy")&amp;" / "&amp;COUNTIFS('100 Days Plan'!D2:D113,B34,'100 Days Plan'!J2:J113,"Medium")&amp;" / "&amp;COUNTIFS('100 Days Plan'!D2:D113,B34,'100 Days Plan'!J2:J113,"Hard")</f>
        <v/>
      </c>
    </row>
    <row r="35">
      <c r="B35" s="30" t="inlineStr">
        <is>
          <t>Capstone (Design &amp; Backtracking)</t>
        </is>
      </c>
      <c r="C35" s="12" t="inlineStr">
        <is>
          <t>Day 98–100</t>
        </is>
      </c>
      <c r="D35" s="12">
        <f>COUNTIF('100 Days Plan'!D2:D113,B35)</f>
        <v/>
      </c>
      <c r="E35" s="12">
        <f>COUNTIFS('100 Days Plan'!D2:D113,B35,'100 Days Plan'!T2:T113,"Done")</f>
        <v/>
      </c>
      <c r="F35" s="17">
        <f>IFERROR(E35/D35,0)</f>
        <v/>
      </c>
      <c r="G35" s="12">
        <f>COUNTIFS('100 Days Plan'!D2:D113,B35,'100 Days Plan'!J2:J113,"Easy")&amp;" / "&amp;COUNTIFS('100 Days Plan'!D2:D113,B35,'100 Days Plan'!J2:J113,"Medium")&amp;" / "&amp;COUNTIFS('100 Days Plan'!D2:D113,B35,'100 Days Plan'!J2:J113,"Hard")</f>
        <v/>
      </c>
    </row>
    <row r="36">
      <c r="B36" s="3" t="inlineStr">
        <is>
          <t>TOTAL</t>
        </is>
      </c>
      <c r="D36" s="3">
        <f>SUM(D22:D35)</f>
        <v/>
      </c>
      <c r="E36" s="3">
        <f>SUM(E22:E35)</f>
        <v/>
      </c>
    </row>
    <row r="39">
      <c r="B39" s="8" t="inlineStr">
        <is>
          <t>HOW TO USE THIS SHEET</t>
        </is>
      </c>
    </row>
    <row r="40">
      <c r="B40" s="31" t="inlineStr">
        <is>
          <t>1. Set your Start Date in the yellow cell C5 — every Planned Date and Revise-On date recalculates.</t>
        </is>
      </c>
    </row>
    <row r="41">
      <c r="B41" s="31" t="inlineStr">
        <is>
          <t>2. Each day: solve the Main problem. Bonus rows (italic) are optional extras on the same day.</t>
        </is>
      </c>
    </row>
    <row r="42">
      <c r="B42" s="31" t="inlineStr">
        <is>
          <t>3. First read Problem Statement → try it yourself 20–30 min → then read Brute Force → Optimal Approach.</t>
        </is>
      </c>
    </row>
    <row r="43">
      <c r="B43" s="31" t="inlineStr">
        <is>
          <t>4. Fill the light-yellow columns in the plan: Status (dropdown), Date Solved, Time Taken, Confidence 1–5, My Notes.</t>
        </is>
      </c>
    </row>
    <row r="44">
      <c r="B44" s="31" t="inlineStr">
        <is>
          <t>5. 'Revise On' = Date Solved + 7 days. It turns red if it's overdue and the problem isn't Done.</t>
        </is>
      </c>
    </row>
    <row r="45">
      <c r="B45" s="31" t="inlineStr">
        <is>
          <t>6. Filter by Topic / Difficulty / Status using the filter arrows on the header row.</t>
        </is>
      </c>
    </row>
    <row r="46">
      <c r="B46" s="31" t="inlineStr">
        <is>
          <t>7. Say the complexity out loud and explain WHY the optimal works — that's what interviewers check.</t>
        </is>
      </c>
    </row>
    <row r="47">
      <c r="B47" s="31" t="inlineStr">
        <is>
          <t>Example row: Status = Done · Date Solved = 24-Sep-26 · Time Taken = 25 · Confidence = 4 · Notes = 'forgot {0:1} seed'.</t>
        </is>
      </c>
    </row>
  </sheetData>
  <conditionalFormatting sqref="F22:F35">
    <cfRule type="dataBar" priority="1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20" customWidth="1" min="4" max="4"/>
    <col width="8" customWidth="1" min="5" max="5"/>
    <col width="32" customWidth="1" min="6" max="6"/>
    <col width="11" customWidth="1" min="7" max="7"/>
    <col width="7" customWidth="1" min="8" max="8"/>
    <col width="8" customWidth="1" min="9" max="9"/>
    <col width="10" customWidth="1" min="10" max="10"/>
    <col width="22" customWidth="1" min="11" max="11"/>
    <col width="22" customWidth="1" min="12" max="12"/>
    <col width="50" customWidth="1" min="13" max="13"/>
    <col width="32" customWidth="1" min="14" max="14"/>
    <col width="55" customWidth="1" min="15" max="15"/>
    <col width="16" customWidth="1" min="16" max="16"/>
    <col width="16" customWidth="1" min="17" max="17"/>
    <col width="50" customWidth="1" min="18" max="18"/>
    <col width="34" customWidth="1" min="19" max="19"/>
    <col width="13" customWidth="1" min="20" max="20"/>
    <col width="12" customWidth="1" min="21" max="21"/>
    <col width="10" customWidth="1" min="22" max="22"/>
    <col width="11" customWidth="1" min="23" max="23"/>
    <col width="12" customWidth="1" min="24" max="24"/>
    <col width="30" customWidth="1" min="25" max="25"/>
  </cols>
  <sheetData>
    <row r="1" ht="34" customHeight="1">
      <c r="A1" s="15" t="inlineStr">
        <is>
          <t>Day</t>
        </is>
      </c>
      <c r="B1" s="15" t="inlineStr">
        <is>
          <t>Week</t>
        </is>
      </c>
      <c r="C1" s="15" t="inlineStr">
        <is>
          <t>Planned Date</t>
        </is>
      </c>
      <c r="D1" s="15" t="inlineStr">
        <is>
          <t>Topic / Concept</t>
        </is>
      </c>
      <c r="E1" s="15" t="inlineStr">
        <is>
          <t>Type</t>
        </is>
      </c>
      <c r="F1" s="15" t="inlineStr">
        <is>
          <t>Problem Name</t>
        </is>
      </c>
      <c r="G1" s="15" t="inlineStr">
        <is>
          <t>Platform</t>
        </is>
      </c>
      <c r="H1" s="15" t="inlineStr">
        <is>
          <t>LC #</t>
        </is>
      </c>
      <c r="I1" s="15" t="inlineStr">
        <is>
          <t>Link</t>
        </is>
      </c>
      <c r="J1" s="15" t="inlineStr">
        <is>
          <t>Difficulty</t>
        </is>
      </c>
      <c r="K1" s="15" t="inlineStr">
        <is>
          <t>Source (from your sheet)</t>
        </is>
      </c>
      <c r="L1" s="15" t="inlineStr">
        <is>
          <t>Pattern</t>
        </is>
      </c>
      <c r="M1" s="15" t="inlineStr">
        <is>
          <t>Problem Statement</t>
        </is>
      </c>
      <c r="N1" s="15" t="inlineStr">
        <is>
          <t>Brute Force</t>
        </is>
      </c>
      <c r="O1" s="15" t="inlineStr">
        <is>
          <t>Optimal Approach / Key Idea</t>
        </is>
      </c>
      <c r="P1" s="15" t="inlineStr">
        <is>
          <t>Time</t>
        </is>
      </c>
      <c r="Q1" s="15" t="inlineStr">
        <is>
          <t>Space</t>
        </is>
      </c>
      <c r="R1" s="15" t="inlineStr">
        <is>
          <t>Key Points to Remember (edge cases &amp; gotchas)</t>
        </is>
      </c>
      <c r="S1" s="15" t="inlineStr">
        <is>
          <t>Interview Follow-ups</t>
        </is>
      </c>
      <c r="T1" s="15" t="inlineStr">
        <is>
          <t>Status</t>
        </is>
      </c>
      <c r="U1" s="15" t="inlineStr">
        <is>
          <t>Date Solved</t>
        </is>
      </c>
      <c r="V1" s="15" t="inlineStr">
        <is>
          <t>Time Taken (min)</t>
        </is>
      </c>
      <c r="W1" s="15" t="inlineStr">
        <is>
          <t>Confidence (1-5)</t>
        </is>
      </c>
      <c r="X1" s="15" t="inlineStr">
        <is>
          <t>Revise On</t>
        </is>
      </c>
      <c r="Y1" s="15" t="inlineStr">
        <is>
          <t>My Notes</t>
        </is>
      </c>
    </row>
    <row r="2" ht="105" customHeight="1">
      <c r="A2" s="32" t="n">
        <v>1</v>
      </c>
      <c r="B2" s="33" t="n">
        <v>1</v>
      </c>
      <c r="C2" s="34">
        <f>Dashboard!$C$5+A2-1</f>
        <v/>
      </c>
      <c r="D2" s="35" t="inlineStr">
        <is>
          <t>Arrays</t>
        </is>
      </c>
      <c r="E2" s="33" t="inlineStr">
        <is>
          <t>Main</t>
        </is>
      </c>
      <c r="F2" s="36" t="inlineStr">
        <is>
          <t>Two Sum</t>
        </is>
      </c>
      <c r="G2" s="33" t="inlineStr">
        <is>
          <t>LeetCode</t>
        </is>
      </c>
      <c r="H2" s="33" t="n">
        <v>1</v>
      </c>
      <c r="I2" s="37" t="inlineStr">
        <is>
          <t>Open</t>
        </is>
      </c>
      <c r="J2" s="33" t="inlineStr">
        <is>
          <t>Easy</t>
        </is>
      </c>
      <c r="K2" s="35" t="inlineStr">
        <is>
          <t>Sheet P1 #1 / P4 #1</t>
        </is>
      </c>
      <c r="L2" s="35" t="inlineStr">
        <is>
          <t>Hashing</t>
        </is>
      </c>
      <c r="M2" s="38" t="inlineStr">
        <is>
          <t>Given an array nums and a target, return the indices of the two numbers that add up to target. Exactly one solution exists; you can't use the same element twice.</t>
        </is>
      </c>
      <c r="N2" s="38" t="inlineStr">
        <is>
          <t>Check every pair with two loops -&gt; O(n^2).</t>
        </is>
      </c>
      <c r="O2" s="38" t="inlineStr">
        <is>
          <t>One pass with HashMap value-&gt;index. For each num, if (target - num) is already in the map, return both indices; else store num.</t>
        </is>
      </c>
      <c r="P2" s="38" t="inlineStr">
        <is>
          <t>O(n)</t>
        </is>
      </c>
      <c r="Q2" s="38" t="inlineStr">
        <is>
          <t>O(n)</t>
        </is>
      </c>
      <c r="R2" s="38" t="inlineStr">
        <is>
          <t>Check the complement BEFORE inserting the current number (handles [3,3], target 6). Return indices, not values. If the array is sorted, two pointers gives O(1) space.</t>
        </is>
      </c>
      <c r="S2" s="38" t="inlineStr">
        <is>
          <t>What if the input is sorted? (LC 167) What if there are many answers / you need all unique pairs?</t>
        </is>
      </c>
      <c r="T2" s="39" t="inlineStr">
        <is>
          <t>Not Started</t>
        </is>
      </c>
      <c r="U2" s="40" t="n"/>
      <c r="V2" s="39" t="n"/>
      <c r="W2" s="39" t="n"/>
      <c r="X2" s="41">
        <f>IF(U2&lt;&gt;"",U2+7,C2+7)</f>
        <v/>
      </c>
      <c r="Y2" s="42" t="n"/>
    </row>
    <row r="3" ht="105" customHeight="1">
      <c r="A3" s="32" t="n">
        <v>1</v>
      </c>
      <c r="B3" s="33" t="n">
        <v>1</v>
      </c>
      <c r="C3" s="34">
        <f>Dashboard!$C$5+A3-1</f>
        <v/>
      </c>
      <c r="D3" s="35" t="inlineStr">
        <is>
          <t>Arrays</t>
        </is>
      </c>
      <c r="E3" s="33" t="inlineStr">
        <is>
          <t>Bonus</t>
        </is>
      </c>
      <c r="F3" s="43" t="inlineStr">
        <is>
          <t>Contains Duplicate</t>
        </is>
      </c>
      <c r="G3" s="33" t="inlineStr">
        <is>
          <t>LeetCode</t>
        </is>
      </c>
      <c r="H3" s="33" t="n">
        <v>217</v>
      </c>
      <c r="I3" s="37" t="inlineStr">
        <is>
          <t>Open</t>
        </is>
      </c>
      <c r="J3" s="33" t="inlineStr">
        <is>
          <t>Easy</t>
        </is>
      </c>
      <c r="K3" s="35" t="inlineStr">
        <is>
          <t>Added (warm-up)</t>
        </is>
      </c>
      <c r="L3" s="35" t="inlineStr">
        <is>
          <t>Hashing / Set</t>
        </is>
      </c>
      <c r="M3" s="38" t="inlineStr">
        <is>
          <t>Return true if any value appears at least twice in the array.</t>
        </is>
      </c>
      <c r="N3" s="38" t="inlineStr">
        <is>
          <t>Compare every pair -&gt; O(n^2).</t>
        </is>
      </c>
      <c r="O3" s="38" t="inlineStr">
        <is>
          <t>Insert into a HashSet; if a value is already present, return true. (Or sort and compare neighbours: O(n log n), O(1).)</t>
        </is>
      </c>
      <c r="P3" s="38" t="inlineStr">
        <is>
          <t>O(n)</t>
        </is>
      </c>
      <c r="Q3" s="38" t="inlineStr">
        <is>
          <t>O(n)</t>
        </is>
      </c>
      <c r="R3" s="38" t="inlineStr">
        <is>
          <t>Set gives O(1) average lookup. Sorting trades time for space.</t>
        </is>
      </c>
      <c r="S3" s="38" t="inlineStr">
        <is>
          <t>Contains Duplicate II (within distance k) -&gt; sliding window set.</t>
        </is>
      </c>
      <c r="T3" s="39" t="inlineStr">
        <is>
          <t>Not Started</t>
        </is>
      </c>
      <c r="U3" s="40" t="n"/>
      <c r="V3" s="39" t="n"/>
      <c r="W3" s="39" t="n"/>
      <c r="X3" s="41">
        <f>IF(U3&lt;&gt;"",U3+7,C3+7)</f>
        <v/>
      </c>
      <c r="Y3" s="42" t="n"/>
    </row>
    <row r="4" ht="105" customHeight="1">
      <c r="A4" s="32" t="n">
        <v>2</v>
      </c>
      <c r="B4" s="33" t="n">
        <v>1</v>
      </c>
      <c r="C4" s="34">
        <f>Dashboard!$C$5+A4-1</f>
        <v/>
      </c>
      <c r="D4" s="35" t="inlineStr">
        <is>
          <t>Arrays</t>
        </is>
      </c>
      <c r="E4" s="33" t="inlineStr">
        <is>
          <t>Main</t>
        </is>
      </c>
      <c r="F4" s="36" t="inlineStr">
        <is>
          <t>Best Time to Buy and Sell Stock</t>
        </is>
      </c>
      <c r="G4" s="33" t="inlineStr">
        <is>
          <t>LeetCode</t>
        </is>
      </c>
      <c r="H4" s="33" t="n">
        <v>121</v>
      </c>
      <c r="I4" s="37" t="inlineStr">
        <is>
          <t>Open</t>
        </is>
      </c>
      <c r="J4" s="33" t="inlineStr">
        <is>
          <t>Easy</t>
        </is>
      </c>
      <c r="K4" s="35" t="inlineStr">
        <is>
          <t>Sheet P1 #2</t>
        </is>
      </c>
      <c r="L4" s="35" t="inlineStr">
        <is>
          <t>One Pass / Greedy</t>
        </is>
      </c>
      <c r="M4" s="38" t="inlineStr">
        <is>
          <t>prices[i] is the stock price on day i. Buy on one day and sell on a later day to maximise profit. Return the max profit (0 if none).</t>
        </is>
      </c>
      <c r="N4" s="38" t="inlineStr">
        <is>
          <t>Try every buy/sell pair -&gt; O(n^2).</t>
        </is>
      </c>
      <c r="O4" s="38" t="inlineStr">
        <is>
          <t>Track the minimum price seen so far. At each day profit = price - minSoFar; keep the maximum.</t>
        </is>
      </c>
      <c r="P4" s="38" t="inlineStr">
        <is>
          <t>O(n)</t>
        </is>
      </c>
      <c r="Q4" s="38" t="inlineStr">
        <is>
          <t>O(1)</t>
        </is>
      </c>
      <c r="R4" s="38" t="inlineStr">
        <is>
          <t>Update min AFTER computing profit or use the order carefully; you must buy before you sell. Answer is never negative.</t>
        </is>
      </c>
      <c r="S4" s="38" t="inlineStr">
        <is>
          <t>Multiple transactions allowed (LC 122)? At most 2 (LC 123)? With cooldown (LC 309)?</t>
        </is>
      </c>
      <c r="T4" s="39" t="inlineStr">
        <is>
          <t>Not Started</t>
        </is>
      </c>
      <c r="U4" s="40" t="n"/>
      <c r="V4" s="39" t="n"/>
      <c r="W4" s="39" t="n"/>
      <c r="X4" s="41">
        <f>IF(U4&lt;&gt;"",U4+7,C4+7)</f>
        <v/>
      </c>
      <c r="Y4" s="42" t="n"/>
    </row>
    <row r="5" ht="105" customHeight="1">
      <c r="A5" s="32" t="n">
        <v>3</v>
      </c>
      <c r="B5" s="33" t="n">
        <v>1</v>
      </c>
      <c r="C5" s="34">
        <f>Dashboard!$C$5+A5-1</f>
        <v/>
      </c>
      <c r="D5" s="35" t="inlineStr">
        <is>
          <t>Arrays</t>
        </is>
      </c>
      <c r="E5" s="33" t="inlineStr">
        <is>
          <t>Main</t>
        </is>
      </c>
      <c r="F5" s="36" t="inlineStr">
        <is>
          <t>Move Zeroes</t>
        </is>
      </c>
      <c r="G5" s="33" t="inlineStr">
        <is>
          <t>LeetCode</t>
        </is>
      </c>
      <c r="H5" s="33" t="n">
        <v>283</v>
      </c>
      <c r="I5" s="37" t="inlineStr">
        <is>
          <t>Open</t>
        </is>
      </c>
      <c r="J5" s="33" t="inlineStr">
        <is>
          <t>Easy</t>
        </is>
      </c>
      <c r="K5" s="35" t="inlineStr">
        <is>
          <t>Sheet P1 #4</t>
        </is>
      </c>
      <c r="L5" s="35" t="inlineStr">
        <is>
          <t>Two Pointers</t>
        </is>
      </c>
      <c r="M5" s="38" t="inlineStr">
        <is>
          <t>Move all 0s to the end of the array in-place while keeping the relative order of non-zero elements.</t>
        </is>
      </c>
      <c r="N5" s="38" t="inlineStr">
        <is>
          <t>Copy non-zeros into a new array, then pad with zeros -&gt; O(n) extra space.</t>
        </is>
      </c>
      <c r="O5" s="38" t="inlineStr">
        <is>
          <t>Write pointer w=0. For each non-zero, place it at nums[w] (or swap) and w++. Fill the rest with 0s.</t>
        </is>
      </c>
      <c r="P5" s="38" t="inlineStr">
        <is>
          <t>O(n)</t>
        </is>
      </c>
      <c r="Q5" s="38" t="inlineStr">
        <is>
          <t>O(1)</t>
        </is>
      </c>
      <c r="R5" s="38" t="inlineStr">
        <is>
          <t>Must be in-place. Swapping version does minimum writes. Order of non-zeros must be preserved.</t>
        </is>
      </c>
      <c r="S5" s="38" t="inlineStr">
        <is>
          <t>Minimise the total number of writes.</t>
        </is>
      </c>
      <c r="T5" s="39" t="inlineStr">
        <is>
          <t>Not Started</t>
        </is>
      </c>
      <c r="U5" s="40" t="n"/>
      <c r="V5" s="39" t="n"/>
      <c r="W5" s="39" t="n"/>
      <c r="X5" s="41">
        <f>IF(U5&lt;&gt;"",U5+7,C5+7)</f>
        <v/>
      </c>
      <c r="Y5" s="42" t="n"/>
    </row>
    <row r="6" ht="105" customHeight="1">
      <c r="A6" s="32" t="n">
        <v>4</v>
      </c>
      <c r="B6" s="33" t="n">
        <v>1</v>
      </c>
      <c r="C6" s="34">
        <f>Dashboard!$C$5+A6-1</f>
        <v/>
      </c>
      <c r="D6" s="35" t="inlineStr">
        <is>
          <t>Arrays</t>
        </is>
      </c>
      <c r="E6" s="33" t="inlineStr">
        <is>
          <t>Main</t>
        </is>
      </c>
      <c r="F6" s="36" t="inlineStr">
        <is>
          <t>Merge Sorted Array</t>
        </is>
      </c>
      <c r="G6" s="33" t="inlineStr">
        <is>
          <t>LeetCode</t>
        </is>
      </c>
      <c r="H6" s="33" t="n">
        <v>88</v>
      </c>
      <c r="I6" s="37" t="inlineStr">
        <is>
          <t>Open</t>
        </is>
      </c>
      <c r="J6" s="33" t="inlineStr">
        <is>
          <t>Easy</t>
        </is>
      </c>
      <c r="K6" s="35" t="inlineStr">
        <is>
          <t>Sheet P1 #6</t>
        </is>
      </c>
      <c r="L6" s="35" t="inlineStr">
        <is>
          <t>Two Pointers (from the end)</t>
        </is>
      </c>
      <c r="M6" s="38" t="inlineStr">
        <is>
          <t>nums1 has size m+n (last n slots are 0). Merge sorted nums2 (size n) into nums1 so it is sorted, in-place.</t>
        </is>
      </c>
      <c r="N6" s="38" t="inlineStr">
        <is>
          <t>Copy nums2 into the tail and sort -&gt; O((m+n) log(m+n)).</t>
        </is>
      </c>
      <c r="O6" s="38" t="inlineStr">
        <is>
          <t>Three pointers: i=m-1, j=n-1, k=m+n-1. Place the larger of nums1[i]/nums2[j] at k, moving backwards. Copy leftover nums2.</t>
        </is>
      </c>
      <c r="P6" s="38" t="inlineStr">
        <is>
          <t>O(m+n)</t>
        </is>
      </c>
      <c r="Q6" s="38" t="inlineStr">
        <is>
          <t>O(1)</t>
        </is>
      </c>
      <c r="R6" s="38" t="inlineStr">
        <is>
          <t>Filling from the END avoids overwriting unread nums1 values. Leftover nums1 elements are already in place; leftover nums2 must be copied.</t>
        </is>
      </c>
      <c r="S6" s="38" t="inlineStr">
        <is>
          <t>Merge K sorted arrays (heap).</t>
        </is>
      </c>
      <c r="T6" s="39" t="inlineStr">
        <is>
          <t>Not Started</t>
        </is>
      </c>
      <c r="U6" s="40" t="n"/>
      <c r="V6" s="39" t="n"/>
      <c r="W6" s="39" t="n"/>
      <c r="X6" s="41">
        <f>IF(U6&lt;&gt;"",U6+7,C6+7)</f>
        <v/>
      </c>
      <c r="Y6" s="42" t="n"/>
    </row>
    <row r="7" ht="105" customHeight="1">
      <c r="A7" s="32" t="n">
        <v>5</v>
      </c>
      <c r="B7" s="33" t="n">
        <v>1</v>
      </c>
      <c r="C7" s="34">
        <f>Dashboard!$C$5+A7-1</f>
        <v/>
      </c>
      <c r="D7" s="35" t="inlineStr">
        <is>
          <t>Arrays</t>
        </is>
      </c>
      <c r="E7" s="33" t="inlineStr">
        <is>
          <t>Main</t>
        </is>
      </c>
      <c r="F7" s="36" t="inlineStr">
        <is>
          <t>Majority Element</t>
        </is>
      </c>
      <c r="G7" s="33" t="inlineStr">
        <is>
          <t>LeetCode</t>
        </is>
      </c>
      <c r="H7" s="33" t="n">
        <v>169</v>
      </c>
      <c r="I7" s="37" t="inlineStr">
        <is>
          <t>Open</t>
        </is>
      </c>
      <c r="J7" s="33" t="inlineStr">
        <is>
          <t>Easy</t>
        </is>
      </c>
      <c r="K7" s="35" t="inlineStr">
        <is>
          <t>Sheet P1 #5</t>
        </is>
      </c>
      <c r="L7" s="35" t="inlineStr">
        <is>
          <t>Boyer-Moore Voting</t>
        </is>
      </c>
      <c r="M7" s="38" t="inlineStr">
        <is>
          <t>Return the element that appears more than n/2 times (it always exists).</t>
        </is>
      </c>
      <c r="N7" s="38" t="inlineStr">
        <is>
          <t>Count with a HashMap -&gt; O(n) space; or sort and take the middle -&gt; O(n log n).</t>
        </is>
      </c>
      <c r="O7" s="38" t="inlineStr">
        <is>
          <t>Boyer-Moore: keep candidate + count. If count==0, candidate=num. count += (num==candidate ? 1 : -1). Candidate at the end is the answer.</t>
        </is>
      </c>
      <c r="P7" s="38" t="inlineStr">
        <is>
          <t>O(n)</t>
        </is>
      </c>
      <c r="Q7" s="38" t="inlineStr">
        <is>
          <t>O(1)</t>
        </is>
      </c>
      <c r="R7" s="38" t="inlineStr">
        <is>
          <t>Works only because a strict majority is guaranteed; otherwise do a second pass to verify.</t>
        </is>
      </c>
      <c r="S7" s="38" t="inlineStr">
        <is>
          <t>Majority Element II: elements &gt; n/3 times (LC 229) -&gt; two candidates.</t>
        </is>
      </c>
      <c r="T7" s="39" t="inlineStr">
        <is>
          <t>Not Started</t>
        </is>
      </c>
      <c r="U7" s="40" t="n"/>
      <c r="V7" s="39" t="n"/>
      <c r="W7" s="39" t="n"/>
      <c r="X7" s="41">
        <f>IF(U7&lt;&gt;"",U7+7,C7+7)</f>
        <v/>
      </c>
      <c r="Y7" s="42" t="n"/>
    </row>
    <row r="8" ht="105" customHeight="1">
      <c r="A8" s="32" t="n">
        <v>6</v>
      </c>
      <c r="B8" s="33" t="n">
        <v>1</v>
      </c>
      <c r="C8" s="34">
        <f>Dashboard!$C$5+A8-1</f>
        <v/>
      </c>
      <c r="D8" s="35" t="inlineStr">
        <is>
          <t>Arrays</t>
        </is>
      </c>
      <c r="E8" s="33" t="inlineStr">
        <is>
          <t>Main</t>
        </is>
      </c>
      <c r="F8" s="36" t="inlineStr">
        <is>
          <t>Maximum Subarray (Kadane's)</t>
        </is>
      </c>
      <c r="G8" s="33" t="inlineStr">
        <is>
          <t>LeetCode</t>
        </is>
      </c>
      <c r="H8" s="33" t="n">
        <v>53</v>
      </c>
      <c r="I8" s="37" t="inlineStr">
        <is>
          <t>Open</t>
        </is>
      </c>
      <c r="J8" s="33" t="inlineStr">
        <is>
          <t>Medium</t>
        </is>
      </c>
      <c r="K8" s="35" t="inlineStr">
        <is>
          <t>Sheet P1 #3</t>
        </is>
      </c>
      <c r="L8" s="35" t="inlineStr">
        <is>
          <t>Kadane's Algorithm</t>
        </is>
      </c>
      <c r="M8" s="38" t="inlineStr">
        <is>
          <t>Find the contiguous subarray with the largest sum and return that sum.</t>
        </is>
      </c>
      <c r="N8" s="38" t="inlineStr">
        <is>
          <t>All subarrays with running sums -&gt; O(n^2).</t>
        </is>
      </c>
      <c r="O8" s="38" t="inlineStr">
        <is>
          <t>Kadane: cur = max(num, cur + num); best = max(best, cur). (Equivalent: add num, update best, reset cur to 0 if negative.)</t>
        </is>
      </c>
      <c r="P8" s="38" t="inlineStr">
        <is>
          <t>O(n)</t>
        </is>
      </c>
      <c r="Q8" s="38" t="inlineStr">
        <is>
          <t>O(1)</t>
        </is>
      </c>
      <c r="R8" s="38" t="inlineStr">
        <is>
          <t>All-negative array: answer is the largest single element, so initialise best = nums[0], not 0.</t>
        </is>
      </c>
      <c r="S8" s="38" t="inlineStr">
        <is>
          <t>Return the start/end indices too. Maximum Product Subarray (LC 152). Circular subarray (LC 918).</t>
        </is>
      </c>
      <c r="T8" s="39" t="inlineStr">
        <is>
          <t>Not Started</t>
        </is>
      </c>
      <c r="U8" s="40" t="n"/>
      <c r="V8" s="39" t="n"/>
      <c r="W8" s="39" t="n"/>
      <c r="X8" s="41">
        <f>IF(U8&lt;&gt;"",U8+7,C8+7)</f>
        <v/>
      </c>
      <c r="Y8" s="42" t="n"/>
    </row>
    <row r="9" ht="105" customHeight="1">
      <c r="A9" s="32" t="n">
        <v>7</v>
      </c>
      <c r="B9" s="33" t="n">
        <v>1</v>
      </c>
      <c r="C9" s="34">
        <f>Dashboard!$C$5+A9-1</f>
        <v/>
      </c>
      <c r="D9" s="35" t="inlineStr">
        <is>
          <t>Arrays</t>
        </is>
      </c>
      <c r="E9" s="33" t="inlineStr">
        <is>
          <t>Main</t>
        </is>
      </c>
      <c r="F9" s="36" t="inlineStr">
        <is>
          <t>Product of Array Except Self</t>
        </is>
      </c>
      <c r="G9" s="33" t="inlineStr">
        <is>
          <t>LeetCode</t>
        </is>
      </c>
      <c r="H9" s="33" t="n">
        <v>238</v>
      </c>
      <c r="I9" s="37" t="inlineStr">
        <is>
          <t>Open</t>
        </is>
      </c>
      <c r="J9" s="33" t="inlineStr">
        <is>
          <t>Medium</t>
        </is>
      </c>
      <c r="K9" s="35" t="inlineStr">
        <is>
          <t>Sheet P1 #7</t>
        </is>
      </c>
      <c r="L9" s="35" t="inlineStr">
        <is>
          <t>Prefix &amp; Suffix</t>
        </is>
      </c>
      <c r="M9" s="38" t="inlineStr">
        <is>
          <t>Return answer[i] = product of all elements except nums[i], without using division, in O(n).</t>
        </is>
      </c>
      <c r="N9" s="38" t="inlineStr">
        <is>
          <t>For each i, multiply every other element -&gt; O(n^2).</t>
        </is>
      </c>
      <c r="O9" s="38" t="inlineStr">
        <is>
          <t>Pass 1: answer[i] = product of everything to the left. Pass 2 (right to left): keep a running suffix product and multiply into answer[i].</t>
        </is>
      </c>
      <c r="P9" s="38" t="inlineStr">
        <is>
          <t>O(n)</t>
        </is>
      </c>
      <c r="Q9" s="38" t="inlineStr">
        <is>
          <t>O(1) extra (output array not counted)</t>
        </is>
      </c>
      <c r="R9" s="38" t="inlineStr">
        <is>
          <t>No division allowed (zeros would break it anyway). Handle zeros naturally with prefix/suffix.</t>
        </is>
      </c>
      <c r="S9" s="38" t="inlineStr">
        <is>
          <t>What if division were allowed and the array contains one / two zeros?</t>
        </is>
      </c>
      <c r="T9" s="39" t="inlineStr">
        <is>
          <t>Not Started</t>
        </is>
      </c>
      <c r="U9" s="40" t="n"/>
      <c r="V9" s="39" t="n"/>
      <c r="W9" s="39" t="n"/>
      <c r="X9" s="41">
        <f>IF(U9&lt;&gt;"",U9+7,C9+7)</f>
        <v/>
      </c>
      <c r="Y9" s="42" t="n"/>
    </row>
    <row r="10" ht="105" customHeight="1">
      <c r="A10" s="32" t="n">
        <v>8</v>
      </c>
      <c r="B10" s="33" t="n">
        <v>2</v>
      </c>
      <c r="C10" s="34">
        <f>Dashboard!$C$5+A10-1</f>
        <v/>
      </c>
      <c r="D10" s="35" t="inlineStr">
        <is>
          <t>Arrays</t>
        </is>
      </c>
      <c r="E10" s="33" t="inlineStr">
        <is>
          <t>Main</t>
        </is>
      </c>
      <c r="F10" s="36" t="inlineStr">
        <is>
          <t>Sort Colors (Dutch National Flag)</t>
        </is>
      </c>
      <c r="G10" s="33" t="inlineStr">
        <is>
          <t>LeetCode</t>
        </is>
      </c>
      <c r="H10" s="33" t="n">
        <v>75</v>
      </c>
      <c r="I10" s="37" t="inlineStr">
        <is>
          <t>Open</t>
        </is>
      </c>
      <c r="J10" s="33" t="inlineStr">
        <is>
          <t>Medium</t>
        </is>
      </c>
      <c r="K10" s="35" t="inlineStr">
        <is>
          <t>Added (3-pointer pattern)</t>
        </is>
      </c>
      <c r="L10" s="35" t="inlineStr">
        <is>
          <t>Three Pointers</t>
        </is>
      </c>
      <c r="M10" s="38" t="inlineStr">
        <is>
          <t>Array contains only 0, 1, 2. Sort it in-place in one pass without a library sort.</t>
        </is>
      </c>
      <c r="N10" s="38" t="inlineStr">
        <is>
          <t>Count 0s/1s/2s and overwrite -&gt; two passes.</t>
        </is>
      </c>
      <c r="O10" s="38" t="inlineStr">
        <is>
          <t>low, mid, high pointers. nums[mid]==0 -&gt; swap(low,mid), low++, mid++. ==1 -&gt; mid++. ==2 -&gt; swap(mid,high), high-- (don't move mid).</t>
        </is>
      </c>
      <c r="P10" s="38" t="inlineStr">
        <is>
          <t>O(n)</t>
        </is>
      </c>
      <c r="Q10" s="38" t="inlineStr">
        <is>
          <t>O(1)</t>
        </is>
      </c>
      <c r="R10" s="38" t="inlineStr">
        <is>
          <t>After swapping with high, do NOT advance mid; the swapped-in value is unchecked. Loop while mid &lt;= high.</t>
        </is>
      </c>
      <c r="S10" s="38" t="inlineStr">
        <is>
          <t>Partition around a pivot (quicksort 3-way partition).</t>
        </is>
      </c>
      <c r="T10" s="39" t="inlineStr">
        <is>
          <t>Not Started</t>
        </is>
      </c>
      <c r="U10" s="40" t="n"/>
      <c r="V10" s="39" t="n"/>
      <c r="W10" s="39" t="n"/>
      <c r="X10" s="41">
        <f>IF(U10&lt;&gt;"",U10+7,C10+7)</f>
        <v/>
      </c>
      <c r="Y10" s="42" t="n"/>
    </row>
    <row r="11" ht="105" customHeight="1">
      <c r="A11" s="32" t="n">
        <v>8</v>
      </c>
      <c r="B11" s="33" t="n">
        <v>2</v>
      </c>
      <c r="C11" s="34">
        <f>Dashboard!$C$5+A11-1</f>
        <v/>
      </c>
      <c r="D11" s="35" t="inlineStr">
        <is>
          <t>Arrays</t>
        </is>
      </c>
      <c r="E11" s="33" t="inlineStr">
        <is>
          <t>Bonus</t>
        </is>
      </c>
      <c r="F11" s="43" t="inlineStr">
        <is>
          <t>Rotate Array</t>
        </is>
      </c>
      <c r="G11" s="33" t="inlineStr">
        <is>
          <t>LeetCode</t>
        </is>
      </c>
      <c r="H11" s="33" t="n">
        <v>189</v>
      </c>
      <c r="I11" s="37" t="inlineStr">
        <is>
          <t>Open</t>
        </is>
      </c>
      <c r="J11" s="33" t="inlineStr">
        <is>
          <t>Medium</t>
        </is>
      </c>
      <c r="K11" s="35" t="inlineStr">
        <is>
          <t>Added</t>
        </is>
      </c>
      <c r="L11" s="35" t="inlineStr">
        <is>
          <t>Reversal Trick</t>
        </is>
      </c>
      <c r="M11" s="38" t="inlineStr">
        <is>
          <t>Rotate the array to the right by k steps, in-place.</t>
        </is>
      </c>
      <c r="N11" s="38" t="inlineStr">
        <is>
          <t>Rotate by 1, k times -&gt; O(n*k).</t>
        </is>
      </c>
      <c r="O11" s="38" t="inlineStr">
        <is>
          <t>k %= n. Reverse whole array, reverse first k, reverse remaining n-k.</t>
        </is>
      </c>
      <c r="P11" s="38" t="inlineStr">
        <is>
          <t>O(n)</t>
        </is>
      </c>
      <c r="Q11" s="38" t="inlineStr">
        <is>
          <t>O(1)</t>
        </is>
      </c>
      <c r="R11" s="38" t="inlineStr">
        <is>
          <t>Always do k %= n first (k can exceed n).</t>
        </is>
      </c>
      <c r="S11" s="38" t="inlineStr">
        <is>
          <t>Left rotation? Rotate a matrix (LC 48)?</t>
        </is>
      </c>
      <c r="T11" s="39" t="inlineStr">
        <is>
          <t>Not Started</t>
        </is>
      </c>
      <c r="U11" s="40" t="n"/>
      <c r="V11" s="39" t="n"/>
      <c r="W11" s="39" t="n"/>
      <c r="X11" s="41">
        <f>IF(U11&lt;&gt;"",U11+7,C11+7)</f>
        <v/>
      </c>
      <c r="Y11" s="42" t="n"/>
    </row>
    <row r="12" ht="105" customHeight="1">
      <c r="A12" s="44" t="n">
        <v>9</v>
      </c>
      <c r="B12" s="45" t="n">
        <v>2</v>
      </c>
      <c r="C12" s="46">
        <f>Dashboard!$C$5+A12-1</f>
        <v/>
      </c>
      <c r="D12" s="47" t="inlineStr">
        <is>
          <t>Strings</t>
        </is>
      </c>
      <c r="E12" s="45" t="inlineStr">
        <is>
          <t>Main</t>
        </is>
      </c>
      <c r="F12" s="48" t="inlineStr">
        <is>
          <t>Valid Palindrome</t>
        </is>
      </c>
      <c r="G12" s="45" t="inlineStr">
        <is>
          <t>LeetCode</t>
        </is>
      </c>
      <c r="H12" s="45" t="n">
        <v>125</v>
      </c>
      <c r="I12" s="49" t="inlineStr">
        <is>
          <t>Open</t>
        </is>
      </c>
      <c r="J12" s="45" t="inlineStr">
        <is>
          <t>Easy</t>
        </is>
      </c>
      <c r="K12" s="47" t="inlineStr">
        <is>
          <t>Sheet P2 #1</t>
        </is>
      </c>
      <c r="L12" s="47" t="inlineStr">
        <is>
          <t>Two Pointers</t>
        </is>
      </c>
      <c r="M12" s="38" t="inlineStr">
        <is>
          <t>After lower-casing and removing non-alphanumeric characters, check if the string reads the same forwards and backwards.</t>
        </is>
      </c>
      <c r="N12" s="38" t="inlineStr">
        <is>
          <t>Build a cleaned string and compare with its reverse -&gt; O(n) extra space.</t>
        </is>
      </c>
      <c r="O12" s="38" t="inlineStr">
        <is>
          <t>Left and right pointers; skip non-alphanumeric chars; compare lowercase chars; move inward.</t>
        </is>
      </c>
      <c r="P12" s="38" t="inlineStr">
        <is>
          <t>O(n)</t>
        </is>
      </c>
      <c r="Q12" s="38" t="inlineStr">
        <is>
          <t>O(1)</t>
        </is>
      </c>
      <c r="R12" s="38" t="inlineStr">
        <is>
          <t>Digits count as alphanumeric. Empty/only-symbols string is a palindrome. Guard the skip loops with l &lt; r.</t>
        </is>
      </c>
      <c r="S12" s="38" t="inlineStr">
        <is>
          <t>Valid Palindrome II: allowed to delete at most one char (LC 680).</t>
        </is>
      </c>
      <c r="T12" s="39" t="inlineStr">
        <is>
          <t>Not Started</t>
        </is>
      </c>
      <c r="U12" s="40" t="n"/>
      <c r="V12" s="39" t="n"/>
      <c r="W12" s="39" t="n"/>
      <c r="X12" s="41">
        <f>IF(U12&lt;&gt;"",U12+7,C12+7)</f>
        <v/>
      </c>
      <c r="Y12" s="42" t="n"/>
    </row>
    <row r="13" ht="105" customHeight="1">
      <c r="A13" s="44" t="n">
        <v>10</v>
      </c>
      <c r="B13" s="45" t="n">
        <v>2</v>
      </c>
      <c r="C13" s="46">
        <f>Dashboard!$C$5+A13-1</f>
        <v/>
      </c>
      <c r="D13" s="47" t="inlineStr">
        <is>
          <t>Strings</t>
        </is>
      </c>
      <c r="E13" s="45" t="inlineStr">
        <is>
          <t>Main</t>
        </is>
      </c>
      <c r="F13" s="48" t="inlineStr">
        <is>
          <t>Valid Anagram</t>
        </is>
      </c>
      <c r="G13" s="45" t="inlineStr">
        <is>
          <t>LeetCode</t>
        </is>
      </c>
      <c r="H13" s="45" t="n">
        <v>242</v>
      </c>
      <c r="I13" s="49" t="inlineStr">
        <is>
          <t>Open</t>
        </is>
      </c>
      <c r="J13" s="45" t="inlineStr">
        <is>
          <t>Easy</t>
        </is>
      </c>
      <c r="K13" s="47" t="inlineStr">
        <is>
          <t>Sheet P2 #2</t>
        </is>
      </c>
      <c r="L13" s="47" t="inlineStr">
        <is>
          <t>Hashing / Frequency Count</t>
        </is>
      </c>
      <c r="M13" s="38" t="inlineStr">
        <is>
          <t>Return true if t is an anagram of s (same characters with the same counts).</t>
        </is>
      </c>
      <c r="N13" s="38" t="inlineStr">
        <is>
          <t>Sort both strings and compare -&gt; O(n log n).</t>
        </is>
      </c>
      <c r="O13" s="38" t="inlineStr">
        <is>
          <t>If lengths differ return false. int[26] counts: ++ for s, -- for t. All zero =&gt; anagram.</t>
        </is>
      </c>
      <c r="P13" s="38" t="inlineStr">
        <is>
          <t>O(n)</t>
        </is>
      </c>
      <c r="Q13" s="38" t="inlineStr">
        <is>
          <t>O(1) (26 letters)</t>
        </is>
      </c>
      <c r="R13" s="38" t="inlineStr">
        <is>
          <t>Early length check. Fixed array beats HashMap for lowercase letters.</t>
        </is>
      </c>
      <c r="S13" s="38" t="inlineStr">
        <is>
          <t>What if inputs contain Unicode? -&gt; use a HashMap.</t>
        </is>
      </c>
      <c r="T13" s="39" t="inlineStr">
        <is>
          <t>Not Started</t>
        </is>
      </c>
      <c r="U13" s="40" t="n"/>
      <c r="V13" s="39" t="n"/>
      <c r="W13" s="39" t="n"/>
      <c r="X13" s="41">
        <f>IF(U13&lt;&gt;"",U13+7,C13+7)</f>
        <v/>
      </c>
      <c r="Y13" s="42" t="n"/>
    </row>
    <row r="14" ht="105" customHeight="1">
      <c r="A14" s="44" t="n">
        <v>11</v>
      </c>
      <c r="B14" s="45" t="n">
        <v>2</v>
      </c>
      <c r="C14" s="46">
        <f>Dashboard!$C$5+A14-1</f>
        <v/>
      </c>
      <c r="D14" s="47" t="inlineStr">
        <is>
          <t>Strings</t>
        </is>
      </c>
      <c r="E14" s="45" t="inlineStr">
        <is>
          <t>Main</t>
        </is>
      </c>
      <c r="F14" s="48" t="inlineStr">
        <is>
          <t>Longest Common Prefix</t>
        </is>
      </c>
      <c r="G14" s="45" t="inlineStr">
        <is>
          <t>LeetCode</t>
        </is>
      </c>
      <c r="H14" s="45" t="n">
        <v>14</v>
      </c>
      <c r="I14" s="49" t="inlineStr">
        <is>
          <t>Open</t>
        </is>
      </c>
      <c r="J14" s="45" t="inlineStr">
        <is>
          <t>Easy</t>
        </is>
      </c>
      <c r="K14" s="47" t="inlineStr">
        <is>
          <t>Sheet P2 #3</t>
        </is>
      </c>
      <c r="L14" s="47" t="inlineStr">
        <is>
          <t>Vertical Scan</t>
        </is>
      </c>
      <c r="M14" s="38" t="inlineStr">
        <is>
          <t>Find the longest common prefix string among an array of strings; return "" if none.</t>
        </is>
      </c>
      <c r="N14" s="38" t="inlineStr">
        <is>
          <t>Compare every prefix length against every string repeatedly.</t>
        </is>
      </c>
      <c r="O14" s="38" t="inlineStr">
        <is>
          <t>Vertical scan: for index i over the first string, check strs[j][i] for all j; stop at first mismatch or when any string ends. (Alt: sort, compare first &amp; last.)</t>
        </is>
      </c>
      <c r="P14" s="38" t="inlineStr">
        <is>
          <t>O(S) where S = total chars</t>
        </is>
      </c>
      <c r="Q14" s="38" t="inlineStr">
        <is>
          <t>O(1)</t>
        </is>
      </c>
      <c r="R14" s="38" t="inlineStr">
        <is>
          <t>Handle an empty array and strings shorter than the first one.</t>
        </is>
      </c>
      <c r="S14" s="38" t="inlineStr">
        <is>
          <t>Answer many queries -&gt; Trie.</t>
        </is>
      </c>
      <c r="T14" s="39" t="inlineStr">
        <is>
          <t>Not Started</t>
        </is>
      </c>
      <c r="U14" s="40" t="n"/>
      <c r="V14" s="39" t="n"/>
      <c r="W14" s="39" t="n"/>
      <c r="X14" s="41">
        <f>IF(U14&lt;&gt;"",U14+7,C14+7)</f>
        <v/>
      </c>
      <c r="Y14" s="42" t="n"/>
    </row>
    <row r="15" ht="105" customHeight="1">
      <c r="A15" s="44" t="n">
        <v>12</v>
      </c>
      <c r="B15" s="45" t="n">
        <v>2</v>
      </c>
      <c r="C15" s="46">
        <f>Dashboard!$C$5+A15-1</f>
        <v/>
      </c>
      <c r="D15" s="47" t="inlineStr">
        <is>
          <t>Strings</t>
        </is>
      </c>
      <c r="E15" s="45" t="inlineStr">
        <is>
          <t>Main</t>
        </is>
      </c>
      <c r="F15" s="48" t="inlineStr">
        <is>
          <t>Group Anagrams</t>
        </is>
      </c>
      <c r="G15" s="45" t="inlineStr">
        <is>
          <t>LeetCode</t>
        </is>
      </c>
      <c r="H15" s="45" t="n">
        <v>49</v>
      </c>
      <c r="I15" s="49" t="inlineStr">
        <is>
          <t>Open</t>
        </is>
      </c>
      <c r="J15" s="45" t="inlineStr">
        <is>
          <t>Medium</t>
        </is>
      </c>
      <c r="K15" s="47" t="inlineStr">
        <is>
          <t>Sheet P2 #5</t>
        </is>
      </c>
      <c r="L15" s="47" t="inlineStr">
        <is>
          <t>Hashing (canonical key)</t>
        </is>
      </c>
      <c r="M15" s="38" t="inlineStr">
        <is>
          <t>Group the strings that are anagrams of each other.</t>
        </is>
      </c>
      <c r="N15" s="38" t="inlineStr">
        <is>
          <t>Compare every pair of strings for anagram-ness -&gt; O(n^2 * k).</t>
        </is>
      </c>
      <c r="O15" s="38" t="inlineStr">
        <is>
          <t>HashMap key = sorted string (or a 26-count signature). Append each string to its key's list.</t>
        </is>
      </c>
      <c r="P15" s="38" t="inlineStr">
        <is>
          <t>O(n * k log k) (O(n*k) with count key)</t>
        </is>
      </c>
      <c r="Q15" s="38" t="inlineStr">
        <is>
          <t>O(n * k)</t>
        </is>
      </c>
      <c r="R15" s="38" t="inlineStr">
        <is>
          <t>Count-signature key must be delimited, e.g. '1#0#2...' to avoid collisions.</t>
        </is>
      </c>
      <c r="S15" s="38" t="inlineStr">
        <is>
          <t>Can you avoid sorting? (count key).</t>
        </is>
      </c>
      <c r="T15" s="39" t="inlineStr">
        <is>
          <t>Not Started</t>
        </is>
      </c>
      <c r="U15" s="40" t="n"/>
      <c r="V15" s="39" t="n"/>
      <c r="W15" s="39" t="n"/>
      <c r="X15" s="41">
        <f>IF(U15&lt;&gt;"",U15+7,C15+7)</f>
        <v/>
      </c>
      <c r="Y15" s="42" t="n"/>
    </row>
    <row r="16" ht="105" customHeight="1">
      <c r="A16" s="44" t="n">
        <v>13</v>
      </c>
      <c r="B16" s="45" t="n">
        <v>2</v>
      </c>
      <c r="C16" s="46">
        <f>Dashboard!$C$5+A16-1</f>
        <v/>
      </c>
      <c r="D16" s="47" t="inlineStr">
        <is>
          <t>Strings</t>
        </is>
      </c>
      <c r="E16" s="45" t="inlineStr">
        <is>
          <t>Main</t>
        </is>
      </c>
      <c r="F16" s="48" t="inlineStr">
        <is>
          <t>String Compression</t>
        </is>
      </c>
      <c r="G16" s="45" t="inlineStr">
        <is>
          <t>LeetCode</t>
        </is>
      </c>
      <c r="H16" s="45" t="n">
        <v>443</v>
      </c>
      <c r="I16" s="49" t="inlineStr">
        <is>
          <t>Open</t>
        </is>
      </c>
      <c r="J16" s="45" t="inlineStr">
        <is>
          <t>Medium</t>
        </is>
      </c>
      <c r="K16" s="47" t="inlineStr">
        <is>
          <t>Sheet P2 #6</t>
        </is>
      </c>
      <c r="L16" s="47" t="inlineStr">
        <is>
          <t>Two Pointers (read / write)</t>
        </is>
      </c>
      <c r="M16" s="38" t="inlineStr">
        <is>
          <t>Compress a char array in-place: each run of repeated chars becomes char + count (only if count &gt; 1). Return the new length.</t>
        </is>
      </c>
      <c r="N16" s="38" t="inlineStr">
        <is>
          <t>Build a new string with a StringBuilder -&gt; O(n) extra space.</t>
        </is>
      </c>
      <c r="O16" s="38" t="inlineStr">
        <is>
          <t>read pointer scans a run; write pointer writes the char, then the digits of count if count &gt; 1.</t>
        </is>
      </c>
      <c r="P16" s="38" t="inlineStr">
        <is>
          <t>O(n)</t>
        </is>
      </c>
      <c r="Q16" s="38" t="inlineStr">
        <is>
          <t>O(1)</t>
        </is>
      </c>
      <c r="R16" s="38" t="inlineStr">
        <is>
          <t>Counts &gt;= 10 are written as multiple digit chars ('1','2'). Return the write index.</t>
        </is>
      </c>
      <c r="S16" s="38" t="inlineStr">
        <is>
          <t>Decompress / run-length decode.</t>
        </is>
      </c>
      <c r="T16" s="39" t="inlineStr">
        <is>
          <t>Not Started</t>
        </is>
      </c>
      <c r="U16" s="40" t="n"/>
      <c r="V16" s="39" t="n"/>
      <c r="W16" s="39" t="n"/>
      <c r="X16" s="41">
        <f>IF(U16&lt;&gt;"",U16+7,C16+7)</f>
        <v/>
      </c>
      <c r="Y16" s="42" t="n"/>
    </row>
    <row r="17" ht="105" customHeight="1">
      <c r="A17" s="44" t="n">
        <v>14</v>
      </c>
      <c r="B17" s="45" t="n">
        <v>2</v>
      </c>
      <c r="C17" s="46">
        <f>Dashboard!$C$5+A17-1</f>
        <v/>
      </c>
      <c r="D17" s="47" t="inlineStr">
        <is>
          <t>Strings</t>
        </is>
      </c>
      <c r="E17" s="45" t="inlineStr">
        <is>
          <t>Main</t>
        </is>
      </c>
      <c r="F17" s="48" t="inlineStr">
        <is>
          <t>Longest Palindromic Substring</t>
        </is>
      </c>
      <c r="G17" s="45" t="inlineStr">
        <is>
          <t>LeetCode</t>
        </is>
      </c>
      <c r="H17" s="45" t="n">
        <v>5</v>
      </c>
      <c r="I17" s="49" t="inlineStr">
        <is>
          <t>Open</t>
        </is>
      </c>
      <c r="J17" s="45" t="inlineStr">
        <is>
          <t>Medium</t>
        </is>
      </c>
      <c r="K17" s="47" t="inlineStr">
        <is>
          <t>Added (very common)</t>
        </is>
      </c>
      <c r="L17" s="47" t="inlineStr">
        <is>
          <t>Expand Around Center</t>
        </is>
      </c>
      <c r="M17" s="38" t="inlineStr">
        <is>
          <t>Return the longest palindromic substring of s.</t>
        </is>
      </c>
      <c r="N17" s="38" t="inlineStr">
        <is>
          <t>Check all O(n^2) substrings for palindrome -&gt; O(n^3).</t>
        </is>
      </c>
      <c r="O17" s="38" t="inlineStr">
        <is>
          <t>For every center (2n-1 centers: each char and each gap), expand while s[l]==s[r]; track the longest.</t>
        </is>
      </c>
      <c r="P17" s="38" t="inlineStr">
        <is>
          <t>O(n^2)</t>
        </is>
      </c>
      <c r="Q17" s="38" t="inlineStr">
        <is>
          <t>O(1)</t>
        </is>
      </c>
      <c r="R17" s="38" t="inlineStr">
        <is>
          <t>Remember BOTH odd (i,i) and even (i,i+1) centers.</t>
        </is>
      </c>
      <c r="S17" s="38" t="inlineStr">
        <is>
          <t>Count palindromic substrings (LC 647). Manacher's for O(n).</t>
        </is>
      </c>
      <c r="T17" s="39" t="inlineStr">
        <is>
          <t>Not Started</t>
        </is>
      </c>
      <c r="U17" s="40" t="n"/>
      <c r="V17" s="39" t="n"/>
      <c r="W17" s="39" t="n"/>
      <c r="X17" s="41">
        <f>IF(U17&lt;&gt;"",U17+7,C17+7)</f>
        <v/>
      </c>
      <c r="Y17" s="42" t="n"/>
    </row>
    <row r="18" ht="105" customHeight="1">
      <c r="A18" s="50" t="n">
        <v>15</v>
      </c>
      <c r="B18" s="51" t="n">
        <v>3</v>
      </c>
      <c r="C18" s="52">
        <f>Dashboard!$C$5+A18-1</f>
        <v/>
      </c>
      <c r="D18" s="53" t="inlineStr">
        <is>
          <t>Two Pointers &amp; Sliding Window</t>
        </is>
      </c>
      <c r="E18" s="51" t="inlineStr">
        <is>
          <t>Main</t>
        </is>
      </c>
      <c r="F18" s="54" t="inlineStr">
        <is>
          <t>Remove Duplicates from Sorted Array</t>
        </is>
      </c>
      <c r="G18" s="51" t="inlineStr">
        <is>
          <t>LeetCode</t>
        </is>
      </c>
      <c r="H18" s="51" t="n">
        <v>26</v>
      </c>
      <c r="I18" s="55" t="inlineStr">
        <is>
          <t>Open</t>
        </is>
      </c>
      <c r="J18" s="51" t="inlineStr">
        <is>
          <t>Easy</t>
        </is>
      </c>
      <c r="K18" s="53" t="inlineStr">
        <is>
          <t>Sheet P3 #3</t>
        </is>
      </c>
      <c r="L18" s="53" t="inlineStr">
        <is>
          <t>Two Pointers (slow / fast)</t>
        </is>
      </c>
      <c r="M18" s="38" t="inlineStr">
        <is>
          <t>Remove duplicates in-place from a sorted array so each element appears once; return the count k of unique elements.</t>
        </is>
      </c>
      <c r="N18" s="38" t="inlineStr">
        <is>
          <t>Use a set and rewrite -&gt; O(n) extra space.</t>
        </is>
      </c>
      <c r="O18" s="38" t="inlineStr">
        <is>
          <t>slow = position of last unique. fast scans; when nums[fast] != nums[slow], slow++ and copy.</t>
        </is>
      </c>
      <c r="P18" s="38" t="inlineStr">
        <is>
          <t>O(n)</t>
        </is>
      </c>
      <c r="Q18" s="38" t="inlineStr">
        <is>
          <t>O(1)</t>
        </is>
      </c>
      <c r="R18" s="38" t="inlineStr">
        <is>
          <t>Works only because the array is sorted. Return slow+1.</t>
        </is>
      </c>
      <c r="S18" s="38" t="inlineStr">
        <is>
          <t>Allow at most 2 duplicates (LC 80).</t>
        </is>
      </c>
      <c r="T18" s="39" t="inlineStr">
        <is>
          <t>Not Started</t>
        </is>
      </c>
      <c r="U18" s="40" t="n"/>
      <c r="V18" s="39" t="n"/>
      <c r="W18" s="39" t="n"/>
      <c r="X18" s="41">
        <f>IF(U18&lt;&gt;"",U18+7,C18+7)</f>
        <v/>
      </c>
      <c r="Y18" s="42" t="n"/>
    </row>
    <row r="19" ht="105" customHeight="1">
      <c r="A19" s="50" t="n">
        <v>16</v>
      </c>
      <c r="B19" s="51" t="n">
        <v>3</v>
      </c>
      <c r="C19" s="52">
        <f>Dashboard!$C$5+A19-1</f>
        <v/>
      </c>
      <c r="D19" s="53" t="inlineStr">
        <is>
          <t>Two Pointers &amp; Sliding Window</t>
        </is>
      </c>
      <c r="E19" s="51" t="inlineStr">
        <is>
          <t>Main</t>
        </is>
      </c>
      <c r="F19" s="54" t="inlineStr">
        <is>
          <t>Container With Most Water</t>
        </is>
      </c>
      <c r="G19" s="51" t="inlineStr">
        <is>
          <t>LeetCode</t>
        </is>
      </c>
      <c r="H19" s="51" t="n">
        <v>11</v>
      </c>
      <c r="I19" s="55" t="inlineStr">
        <is>
          <t>Open</t>
        </is>
      </c>
      <c r="J19" s="51" t="inlineStr">
        <is>
          <t>Medium</t>
        </is>
      </c>
      <c r="K19" s="53" t="inlineStr">
        <is>
          <t>Sheet P3 #1</t>
        </is>
      </c>
      <c r="L19" s="53" t="inlineStr">
        <is>
          <t>Two Pointers (opposite ends)</t>
        </is>
      </c>
      <c r="M19" s="38" t="inlineStr">
        <is>
          <t>Given heights, pick two lines that with the x-axis hold the most water. Return the max area.</t>
        </is>
      </c>
      <c r="N19" s="38" t="inlineStr">
        <is>
          <t>Try all pairs -&gt; O(n^2).</t>
        </is>
      </c>
      <c r="O19" s="38" t="inlineStr">
        <is>
          <t>l=0, r=n-1. area = min(h[l],h[r]) * (r-l). Move the pointer with the SMALLER height inward.</t>
        </is>
      </c>
      <c r="P19" s="38" t="inlineStr">
        <is>
          <t>O(n)</t>
        </is>
      </c>
      <c r="Q19" s="38" t="inlineStr">
        <is>
          <t>O(1)</t>
        </is>
      </c>
      <c r="R19" s="38" t="inlineStr">
        <is>
          <t>Moving the taller line can never increase area (width shrinks, height capped by the shorter).</t>
        </is>
      </c>
      <c r="S19" s="38" t="inlineStr">
        <is>
          <t>Explain WHY the greedy pointer move is correct.</t>
        </is>
      </c>
      <c r="T19" s="39" t="inlineStr">
        <is>
          <t>Not Started</t>
        </is>
      </c>
      <c r="U19" s="40" t="n"/>
      <c r="V19" s="39" t="n"/>
      <c r="W19" s="39" t="n"/>
      <c r="X19" s="41">
        <f>IF(U19&lt;&gt;"",U19+7,C19+7)</f>
        <v/>
      </c>
      <c r="Y19" s="42" t="n"/>
    </row>
    <row r="20" ht="105" customHeight="1">
      <c r="A20" s="50" t="n">
        <v>17</v>
      </c>
      <c r="B20" s="51" t="n">
        <v>3</v>
      </c>
      <c r="C20" s="52">
        <f>Dashboard!$C$5+A20-1</f>
        <v/>
      </c>
      <c r="D20" s="53" t="inlineStr">
        <is>
          <t>Two Pointers &amp; Sliding Window</t>
        </is>
      </c>
      <c r="E20" s="51" t="inlineStr">
        <is>
          <t>Main</t>
        </is>
      </c>
      <c r="F20" s="54" t="inlineStr">
        <is>
          <t>3Sum</t>
        </is>
      </c>
      <c r="G20" s="51" t="inlineStr">
        <is>
          <t>LeetCode</t>
        </is>
      </c>
      <c r="H20" s="51" t="n">
        <v>15</v>
      </c>
      <c r="I20" s="55" t="inlineStr">
        <is>
          <t>Open</t>
        </is>
      </c>
      <c r="J20" s="51" t="inlineStr">
        <is>
          <t>Medium</t>
        </is>
      </c>
      <c r="K20" s="53" t="inlineStr">
        <is>
          <t>Sheet P3 #2</t>
        </is>
      </c>
      <c r="L20" s="53" t="inlineStr">
        <is>
          <t>Sorting + Two Pointers</t>
        </is>
      </c>
      <c r="M20" s="38" t="inlineStr">
        <is>
          <t>Return all unique triplets [a,b,c] in nums with a+b+c = 0.</t>
        </is>
      </c>
      <c r="N20" s="38" t="inlineStr">
        <is>
          <t>Three nested loops + set for uniqueness -&gt; O(n^3).</t>
        </is>
      </c>
      <c r="O20" s="38" t="inlineStr">
        <is>
          <t>Sort. For each i (skip duplicate nums[i]), run two pointers on i+1..n-1 for target -nums[i]. On a match, skip duplicates for both pointers.</t>
        </is>
      </c>
      <c r="P20" s="38" t="inlineStr">
        <is>
          <t>O(n^2)</t>
        </is>
      </c>
      <c r="Q20" s="38" t="inlineStr">
        <is>
          <t>O(1) extra (ignoring sort / output)</t>
        </is>
      </c>
      <c r="R20" s="38" t="inlineStr">
        <is>
          <t>Duplicate skipping is the #1 bug. Break early if nums[i] &gt; 0.</t>
        </is>
      </c>
      <c r="S20" s="38" t="inlineStr">
        <is>
          <t>4Sum (LC 18). 3Sum Closest (LC 16).</t>
        </is>
      </c>
      <c r="T20" s="39" t="inlineStr">
        <is>
          <t>Not Started</t>
        </is>
      </c>
      <c r="U20" s="40" t="n"/>
      <c r="V20" s="39" t="n"/>
      <c r="W20" s="39" t="n"/>
      <c r="X20" s="41">
        <f>IF(U20&lt;&gt;"",U20+7,C20+7)</f>
        <v/>
      </c>
      <c r="Y20" s="42" t="n"/>
    </row>
    <row r="21" ht="105" customHeight="1">
      <c r="A21" s="50" t="n">
        <v>18</v>
      </c>
      <c r="B21" s="51" t="n">
        <v>3</v>
      </c>
      <c r="C21" s="52">
        <f>Dashboard!$C$5+A21-1</f>
        <v/>
      </c>
      <c r="D21" s="53" t="inlineStr">
        <is>
          <t>Two Pointers &amp; Sliding Window</t>
        </is>
      </c>
      <c r="E21" s="51" t="inlineStr">
        <is>
          <t>Main</t>
        </is>
      </c>
      <c r="F21" s="54" t="inlineStr">
        <is>
          <t>Maximum Average Subarray I (Max Sum of Size K)</t>
        </is>
      </c>
      <c r="G21" s="51" t="inlineStr">
        <is>
          <t>LeetCode</t>
        </is>
      </c>
      <c r="H21" s="51" t="n">
        <v>643</v>
      </c>
      <c r="I21" s="55" t="inlineStr">
        <is>
          <t>Open</t>
        </is>
      </c>
      <c r="J21" s="51" t="inlineStr">
        <is>
          <t>Easy</t>
        </is>
      </c>
      <c r="K21" s="53" t="inlineStr">
        <is>
          <t>Sheet P3 #5</t>
        </is>
      </c>
      <c r="L21" s="53" t="inlineStr">
        <is>
          <t>Fixed Sliding Window</t>
        </is>
      </c>
      <c r="M21" s="38" t="inlineStr">
        <is>
          <t>Find the contiguous subarray of length k with the maximum average (equivalently, maximum sum).</t>
        </is>
      </c>
      <c r="N21" s="38" t="inlineStr">
        <is>
          <t>Sum each window from scratch -&gt; O(n*k).</t>
        </is>
      </c>
      <c r="O21" s="38" t="inlineStr">
        <is>
          <t>Sum the first k. Slide: sum += nums[i] - nums[i-k]; track max. Divide by k at the end.</t>
        </is>
      </c>
      <c r="P21" s="38" t="inlineStr">
        <is>
          <t>O(n)</t>
        </is>
      </c>
      <c r="Q21" s="38" t="inlineStr">
        <is>
          <t>O(1)</t>
        </is>
      </c>
      <c r="R21" s="38" t="inlineStr">
        <is>
          <t>Fixed-size window template. Initialise max with the first window, not 0 (negatives).</t>
        </is>
      </c>
      <c r="S21" s="38" t="inlineStr">
        <is>
          <t>Variable-size window: smallest subarray with sum &gt;= target (LC 209).</t>
        </is>
      </c>
      <c r="T21" s="39" t="inlineStr">
        <is>
          <t>Not Started</t>
        </is>
      </c>
      <c r="U21" s="40" t="n"/>
      <c r="V21" s="39" t="n"/>
      <c r="W21" s="39" t="n"/>
      <c r="X21" s="41">
        <f>IF(U21&lt;&gt;"",U21+7,C21+7)</f>
        <v/>
      </c>
      <c r="Y21" s="42" t="n"/>
    </row>
    <row r="22" ht="105" customHeight="1">
      <c r="A22" s="50" t="n">
        <v>19</v>
      </c>
      <c r="B22" s="51" t="n">
        <v>3</v>
      </c>
      <c r="C22" s="52">
        <f>Dashboard!$C$5+A22-1</f>
        <v/>
      </c>
      <c r="D22" s="53" t="inlineStr">
        <is>
          <t>Two Pointers &amp; Sliding Window</t>
        </is>
      </c>
      <c r="E22" s="51" t="inlineStr">
        <is>
          <t>Main</t>
        </is>
      </c>
      <c r="F22" s="54" t="inlineStr">
        <is>
          <t>Longest Substring Without Repeating Characters</t>
        </is>
      </c>
      <c r="G22" s="51" t="inlineStr">
        <is>
          <t>LeetCode</t>
        </is>
      </c>
      <c r="H22" s="51" t="n">
        <v>3</v>
      </c>
      <c r="I22" s="55" t="inlineStr">
        <is>
          <t>Open</t>
        </is>
      </c>
      <c r="J22" s="51" t="inlineStr">
        <is>
          <t>Medium</t>
        </is>
      </c>
      <c r="K22" s="53" t="inlineStr">
        <is>
          <t>Sheet P2 #4 / P3 #4</t>
        </is>
      </c>
      <c r="L22" s="53" t="inlineStr">
        <is>
          <t>Variable Sliding Window + Hashing</t>
        </is>
      </c>
      <c r="M22" s="38" t="inlineStr">
        <is>
          <t>Return the length of the longest substring with no repeated characters.</t>
        </is>
      </c>
      <c r="N22" s="38" t="inlineStr">
        <is>
          <t>Check every substring for uniqueness -&gt; O(n^3) / O(n^2).</t>
        </is>
      </c>
      <c r="O22" s="38" t="inlineStr">
        <is>
          <t>Expand right; store last index of each char. If s[r] was seen at index &gt;= left, jump left = lastIndex + 1. ans = max(ans, r-left+1).</t>
        </is>
      </c>
      <c r="P22" s="38" t="inlineStr">
        <is>
          <t>O(n)</t>
        </is>
      </c>
      <c r="Q22" s="38" t="inlineStr">
        <is>
          <t>O(k) (charset size)</t>
        </is>
      </c>
      <c r="R22" s="38" t="inlineStr">
        <is>
          <t>Use max(left, last[c]+1) so left never moves backwards.</t>
        </is>
      </c>
      <c r="S22" s="38" t="inlineStr">
        <is>
          <t>At most K distinct characters (LC 340).</t>
        </is>
      </c>
      <c r="T22" s="39" t="inlineStr">
        <is>
          <t>Not Started</t>
        </is>
      </c>
      <c r="U22" s="40" t="n"/>
      <c r="V22" s="39" t="n"/>
      <c r="W22" s="39" t="n"/>
      <c r="X22" s="41">
        <f>IF(U22&lt;&gt;"",U22+7,C22+7)</f>
        <v/>
      </c>
      <c r="Y22" s="42" t="n"/>
    </row>
    <row r="23" ht="105" customHeight="1">
      <c r="A23" s="50" t="n">
        <v>20</v>
      </c>
      <c r="B23" s="51" t="n">
        <v>3</v>
      </c>
      <c r="C23" s="52">
        <f>Dashboard!$C$5+A23-1</f>
        <v/>
      </c>
      <c r="D23" s="53" t="inlineStr">
        <is>
          <t>Two Pointers &amp; Sliding Window</t>
        </is>
      </c>
      <c r="E23" s="51" t="inlineStr">
        <is>
          <t>Main</t>
        </is>
      </c>
      <c r="F23" s="54" t="inlineStr">
        <is>
          <t>Longest Repeating Character Replacement</t>
        </is>
      </c>
      <c r="G23" s="51" t="inlineStr">
        <is>
          <t>LeetCode</t>
        </is>
      </c>
      <c r="H23" s="51" t="n">
        <v>424</v>
      </c>
      <c r="I23" s="55" t="inlineStr">
        <is>
          <t>Open</t>
        </is>
      </c>
      <c r="J23" s="51" t="inlineStr">
        <is>
          <t>Medium</t>
        </is>
      </c>
      <c r="K23" s="53" t="inlineStr">
        <is>
          <t>Added</t>
        </is>
      </c>
      <c r="L23" s="53" t="inlineStr">
        <is>
          <t>Variable Sliding Window</t>
        </is>
      </c>
      <c r="M23" s="38" t="inlineStr">
        <is>
          <t>You may replace at most k characters. Return the length of the longest substring containing a single repeated letter.</t>
        </is>
      </c>
      <c r="N23" s="38" t="inlineStr">
        <is>
          <t>Try every substring and count -&gt; O(n^2).</t>
        </is>
      </c>
      <c r="O23" s="38" t="inlineStr">
        <is>
          <t>Window valid while (windowLen - maxFreq) &lt;= k. Expand right, update counts/maxFreq; shrink left when invalid.</t>
        </is>
      </c>
      <c r="P23" s="38" t="inlineStr">
        <is>
          <t>O(n)</t>
        </is>
      </c>
      <c r="Q23" s="38" t="inlineStr">
        <is>
          <t>O(26)</t>
        </is>
      </c>
      <c r="R23" s="38" t="inlineStr">
        <is>
          <t>maxFreq doesn't need to be decreased when shrinking - the answer only grows when maxFreq grows.</t>
        </is>
      </c>
      <c r="S23" s="38" t="inlineStr">
        <is>
          <t>Max Consecutive Ones III (LC 1004).</t>
        </is>
      </c>
      <c r="T23" s="39" t="inlineStr">
        <is>
          <t>Not Started</t>
        </is>
      </c>
      <c r="U23" s="40" t="n"/>
      <c r="V23" s="39" t="n"/>
      <c r="W23" s="39" t="n"/>
      <c r="X23" s="41">
        <f>IF(U23&lt;&gt;"",U23+7,C23+7)</f>
        <v/>
      </c>
      <c r="Y23" s="42" t="n"/>
    </row>
    <row r="24" ht="105" customHeight="1">
      <c r="A24" s="50" t="n">
        <v>21</v>
      </c>
      <c r="B24" s="51" t="n">
        <v>3</v>
      </c>
      <c r="C24" s="52">
        <f>Dashboard!$C$5+A24-1</f>
        <v/>
      </c>
      <c r="D24" s="53" t="inlineStr">
        <is>
          <t>Two Pointers &amp; Sliding Window</t>
        </is>
      </c>
      <c r="E24" s="51" t="inlineStr">
        <is>
          <t>Main</t>
        </is>
      </c>
      <c r="F24" s="54" t="inlineStr">
        <is>
          <t>Minimum Window Substring</t>
        </is>
      </c>
      <c r="G24" s="51" t="inlineStr">
        <is>
          <t>LeetCode</t>
        </is>
      </c>
      <c r="H24" s="51" t="n">
        <v>76</v>
      </c>
      <c r="I24" s="55" t="inlineStr">
        <is>
          <t>Open</t>
        </is>
      </c>
      <c r="J24" s="51" t="inlineStr">
        <is>
          <t>Hard</t>
        </is>
      </c>
      <c r="K24" s="53" t="inlineStr">
        <is>
          <t>Sheet P3 #6</t>
        </is>
      </c>
      <c r="L24" s="53" t="inlineStr">
        <is>
          <t>Sliding Window + Hashing</t>
        </is>
      </c>
      <c r="M24" s="38" t="inlineStr">
        <is>
          <t>Return the smallest substring of s that contains every character of t (with multiplicity), or "".</t>
        </is>
      </c>
      <c r="N24" s="38" t="inlineStr">
        <is>
          <t>Check all substrings -&gt; O(n^2 * sigma).</t>
        </is>
      </c>
      <c r="O24" s="38" t="inlineStr">
        <is>
          <t>need[] from t, 'missing' = len(t). Expand right, decrement need; when missing==0, shrink left while still valid, record the min window.</t>
        </is>
      </c>
      <c r="P24" s="38" t="inlineStr">
        <is>
          <t>O(n + m)</t>
        </is>
      </c>
      <c r="Q24" s="38" t="inlineStr">
        <is>
          <t>O(sigma)</t>
        </is>
      </c>
      <c r="R24" s="38" t="inlineStr">
        <is>
          <t>Duplicates in t matter. Store start index + length, build substring once at the end.</t>
        </is>
      </c>
      <c r="S24" s="38" t="inlineStr">
        <is>
          <t>Find all anagrams of p in s (LC 438).</t>
        </is>
      </c>
      <c r="T24" s="39" t="inlineStr">
        <is>
          <t>Not Started</t>
        </is>
      </c>
      <c r="U24" s="40" t="n"/>
      <c r="V24" s="39" t="n"/>
      <c r="W24" s="39" t="n"/>
      <c r="X24" s="41">
        <f>IF(U24&lt;&gt;"",U24+7,C24+7)</f>
        <v/>
      </c>
      <c r="Y24" s="42" t="n"/>
    </row>
    <row r="25" ht="105" customHeight="1">
      <c r="A25" s="50" t="n">
        <v>22</v>
      </c>
      <c r="B25" s="51" t="n">
        <v>4</v>
      </c>
      <c r="C25" s="52">
        <f>Dashboard!$C$5+A25-1</f>
        <v/>
      </c>
      <c r="D25" s="53" t="inlineStr">
        <is>
          <t>Two Pointers &amp; Sliding Window</t>
        </is>
      </c>
      <c r="E25" s="51" t="inlineStr">
        <is>
          <t>Main</t>
        </is>
      </c>
      <c r="F25" s="54" t="inlineStr">
        <is>
          <t>Trapping Rain Water</t>
        </is>
      </c>
      <c r="G25" s="51" t="inlineStr">
        <is>
          <t>LeetCode</t>
        </is>
      </c>
      <c r="H25" s="51" t="n">
        <v>42</v>
      </c>
      <c r="I25" s="55" t="inlineStr">
        <is>
          <t>Open</t>
        </is>
      </c>
      <c r="J25" s="51" t="inlineStr">
        <is>
          <t>Hard</t>
        </is>
      </c>
      <c r="K25" s="53" t="inlineStr">
        <is>
          <t>Added (top interview)</t>
        </is>
      </c>
      <c r="L25" s="53" t="inlineStr">
        <is>
          <t>Two Pointers / Prefix Max</t>
        </is>
      </c>
      <c r="M25" s="38" t="inlineStr">
        <is>
          <t>Given elevation heights, compute how much water is trapped after raining.</t>
        </is>
      </c>
      <c r="N25" s="38" t="inlineStr">
        <is>
          <t>For each bar, scan left and right for max -&gt; O(n^2).</t>
        </is>
      </c>
      <c r="O25" s="38" t="inlineStr">
        <is>
          <t>Water at i = min(maxLeft, maxRight) - h[i]. Two pointers: move the side with the smaller max, add (thatMax - h) to answer.</t>
        </is>
      </c>
      <c r="P25" s="38" t="inlineStr">
        <is>
          <t>O(n)</t>
        </is>
      </c>
      <c r="Q25" s="38" t="inlineStr">
        <is>
          <t>O(1)</t>
        </is>
      </c>
      <c r="R25" s="38" t="inlineStr">
        <is>
          <t>Prefix/suffix max arrays version (O(n) space) is easier to explain first.</t>
        </is>
      </c>
      <c r="S25" s="38" t="inlineStr">
        <is>
          <t>Monotonic stack solution. 2D version (LC 407).</t>
        </is>
      </c>
      <c r="T25" s="39" t="inlineStr">
        <is>
          <t>Not Started</t>
        </is>
      </c>
      <c r="U25" s="40" t="n"/>
      <c r="V25" s="39" t="n"/>
      <c r="W25" s="39" t="n"/>
      <c r="X25" s="41">
        <f>IF(U25&lt;&gt;"",U25+7,C25+7)</f>
        <v/>
      </c>
      <c r="Y25" s="42" t="n"/>
    </row>
    <row r="26" ht="105" customHeight="1">
      <c r="A26" s="56" t="n">
        <v>23</v>
      </c>
      <c r="B26" s="57" t="n">
        <v>4</v>
      </c>
      <c r="C26" s="58">
        <f>Dashboard!$C$5+A26-1</f>
        <v/>
      </c>
      <c r="D26" s="59" t="inlineStr">
        <is>
          <t>Hashing &amp; Prefix Sum</t>
        </is>
      </c>
      <c r="E26" s="57" t="inlineStr">
        <is>
          <t>Main</t>
        </is>
      </c>
      <c r="F26" s="60" t="inlineStr">
        <is>
          <t>Subarray Sum Equals K</t>
        </is>
      </c>
      <c r="G26" s="57" t="inlineStr">
        <is>
          <t>LeetCode</t>
        </is>
      </c>
      <c r="H26" s="57" t="n">
        <v>560</v>
      </c>
      <c r="I26" s="61" t="inlineStr">
        <is>
          <t>Open</t>
        </is>
      </c>
      <c r="J26" s="57" t="inlineStr">
        <is>
          <t>Medium</t>
        </is>
      </c>
      <c r="K26" s="59" t="inlineStr">
        <is>
          <t>Sheet P4 #2</t>
        </is>
      </c>
      <c r="L26" s="59" t="inlineStr">
        <is>
          <t>Prefix Sum + HashMap</t>
        </is>
      </c>
      <c r="M26" s="38" t="inlineStr">
        <is>
          <t>Return the total number of contiguous subarrays whose sum equals k.</t>
        </is>
      </c>
      <c r="N26" s="38" t="inlineStr">
        <is>
          <t>All subarrays with running sum -&gt; O(n^2).</t>
        </is>
      </c>
      <c r="O26" s="38" t="inlineStr">
        <is>
          <t>Map prefixSum -&gt; count, seeded with {0:1}. For each prefix, ans += map[prefix - k]; then map[prefix]++.</t>
        </is>
      </c>
      <c r="P26" s="38" t="inlineStr">
        <is>
          <t>O(n)</t>
        </is>
      </c>
      <c r="Q26" s="38" t="inlineStr">
        <is>
          <t>O(n)</t>
        </is>
      </c>
      <c r="R26" s="38" t="inlineStr">
        <is>
          <t>Seed map with {0:1}. Sliding window does NOT work (negatives allowed).</t>
        </is>
      </c>
      <c r="S26" s="38" t="inlineStr">
        <is>
          <t>Subarray sums divisible by K (LC 974).</t>
        </is>
      </c>
      <c r="T26" s="39" t="inlineStr">
        <is>
          <t>Not Started</t>
        </is>
      </c>
      <c r="U26" s="40" t="n"/>
      <c r="V26" s="39" t="n"/>
      <c r="W26" s="39" t="n"/>
      <c r="X26" s="41">
        <f>IF(U26&lt;&gt;"",U26+7,C26+7)</f>
        <v/>
      </c>
      <c r="Y26" s="42" t="n"/>
    </row>
    <row r="27" ht="105" customHeight="1">
      <c r="A27" s="56" t="n">
        <v>23</v>
      </c>
      <c r="B27" s="57" t="n">
        <v>4</v>
      </c>
      <c r="C27" s="58">
        <f>Dashboard!$C$5+A27-1</f>
        <v/>
      </c>
      <c r="D27" s="59" t="inlineStr">
        <is>
          <t>Hashing &amp; Prefix Sum</t>
        </is>
      </c>
      <c r="E27" s="57" t="inlineStr">
        <is>
          <t>Bonus</t>
        </is>
      </c>
      <c r="F27" s="62" t="inlineStr">
        <is>
          <t>Range Sum Query - Immutable</t>
        </is>
      </c>
      <c r="G27" s="57" t="inlineStr">
        <is>
          <t>LeetCode</t>
        </is>
      </c>
      <c r="H27" s="57" t="n">
        <v>303</v>
      </c>
      <c r="I27" s="61" t="inlineStr">
        <is>
          <t>Open</t>
        </is>
      </c>
      <c r="J27" s="57" t="inlineStr">
        <is>
          <t>Easy</t>
        </is>
      </c>
      <c r="K27" s="59" t="inlineStr">
        <is>
          <t>Added (prefix basics)</t>
        </is>
      </c>
      <c r="L27" s="59" t="inlineStr">
        <is>
          <t>Prefix Sum</t>
        </is>
      </c>
      <c r="M27" s="38" t="inlineStr">
        <is>
          <t>Answer many sumRange(i, j) queries on a fixed array.</t>
        </is>
      </c>
      <c r="N27" s="38" t="inlineStr">
        <is>
          <t>Loop i..j per query -&gt; O(n) per query.</t>
        </is>
      </c>
      <c r="O27" s="38" t="inlineStr">
        <is>
          <t>prefix[i+1] = prefix[i] + nums[i]. sum(i,j) = prefix[j+1] - prefix[i].</t>
        </is>
      </c>
      <c r="P27" s="38" t="inlineStr">
        <is>
          <t>O(n) build, O(1) query</t>
        </is>
      </c>
      <c r="Q27" s="38" t="inlineStr">
        <is>
          <t>O(n)</t>
        </is>
      </c>
      <c r="R27" s="38" t="inlineStr">
        <is>
          <t>Size prefix as n+1 to avoid the i-1 edge case.</t>
        </is>
      </c>
      <c r="S27" s="38" t="inlineStr">
        <is>
          <t>2D prefix sum (LC 304).</t>
        </is>
      </c>
      <c r="T27" s="39" t="inlineStr">
        <is>
          <t>Not Started</t>
        </is>
      </c>
      <c r="U27" s="40" t="n"/>
      <c r="V27" s="39" t="n"/>
      <c r="W27" s="39" t="n"/>
      <c r="X27" s="41">
        <f>IF(U27&lt;&gt;"",U27+7,C27+7)</f>
        <v/>
      </c>
      <c r="Y27" s="42" t="n"/>
    </row>
    <row r="28" ht="105" customHeight="1">
      <c r="A28" s="56" t="n">
        <v>24</v>
      </c>
      <c r="B28" s="57" t="n">
        <v>4</v>
      </c>
      <c r="C28" s="58">
        <f>Dashboard!$C$5+A28-1</f>
        <v/>
      </c>
      <c r="D28" s="59" t="inlineStr">
        <is>
          <t>Hashing &amp; Prefix Sum</t>
        </is>
      </c>
      <c r="E28" s="57" t="inlineStr">
        <is>
          <t>Main</t>
        </is>
      </c>
      <c r="F28" s="60" t="inlineStr">
        <is>
          <t>Longest Consecutive Sequence</t>
        </is>
      </c>
      <c r="G28" s="57" t="inlineStr">
        <is>
          <t>LeetCode</t>
        </is>
      </c>
      <c r="H28" s="57" t="n">
        <v>128</v>
      </c>
      <c r="I28" s="61" t="inlineStr">
        <is>
          <t>Open</t>
        </is>
      </c>
      <c r="J28" s="57" t="inlineStr">
        <is>
          <t>Medium</t>
        </is>
      </c>
      <c r="K28" s="59" t="inlineStr">
        <is>
          <t>Sheet P4 #3</t>
        </is>
      </c>
      <c r="L28" s="59" t="inlineStr">
        <is>
          <t>Hash Set</t>
        </is>
      </c>
      <c r="M28" s="38" t="inlineStr">
        <is>
          <t>Return the length of the longest run of consecutive integers in an unsorted array, in O(n).</t>
        </is>
      </c>
      <c r="N28" s="38" t="inlineStr">
        <is>
          <t>Sort then scan -&gt; O(n log n).</t>
        </is>
      </c>
      <c r="O28" s="38" t="inlineStr">
        <is>
          <t>Put all in a set. Only start counting from x when x-1 is NOT in the set; count x+1, x+2 ...</t>
        </is>
      </c>
      <c r="P28" s="38" t="inlineStr">
        <is>
          <t>O(n)</t>
        </is>
      </c>
      <c r="Q28" s="38" t="inlineStr">
        <is>
          <t>O(n)</t>
        </is>
      </c>
      <c r="R28" s="38" t="inlineStr">
        <is>
          <t>The 'start only at sequence beginnings' check makes it O(n). Iterate over the set (not the array) to avoid duplicate work.</t>
        </is>
      </c>
      <c r="S28" s="38" t="inlineStr">
        <is>
          <t>Union-Find solution.</t>
        </is>
      </c>
      <c r="T28" s="39" t="inlineStr">
        <is>
          <t>Not Started</t>
        </is>
      </c>
      <c r="U28" s="40" t="n"/>
      <c r="V28" s="39" t="n"/>
      <c r="W28" s="39" t="n"/>
      <c r="X28" s="41">
        <f>IF(U28&lt;&gt;"",U28+7,C28+7)</f>
        <v/>
      </c>
      <c r="Y28" s="42" t="n"/>
    </row>
    <row r="29" ht="105" customHeight="1">
      <c r="A29" s="56" t="n">
        <v>25</v>
      </c>
      <c r="B29" s="57" t="n">
        <v>4</v>
      </c>
      <c r="C29" s="58">
        <f>Dashboard!$C$5+A29-1</f>
        <v/>
      </c>
      <c r="D29" s="59" t="inlineStr">
        <is>
          <t>Hashing &amp; Prefix Sum</t>
        </is>
      </c>
      <c r="E29" s="57" t="inlineStr">
        <is>
          <t>Main</t>
        </is>
      </c>
      <c r="F29" s="60" t="inlineStr">
        <is>
          <t>Top K Frequent Elements</t>
        </is>
      </c>
      <c r="G29" s="57" t="inlineStr">
        <is>
          <t>LeetCode</t>
        </is>
      </c>
      <c r="H29" s="57" t="n">
        <v>347</v>
      </c>
      <c r="I29" s="61" t="inlineStr">
        <is>
          <t>Open</t>
        </is>
      </c>
      <c r="J29" s="57" t="inlineStr">
        <is>
          <t>Medium</t>
        </is>
      </c>
      <c r="K29" s="59" t="inlineStr">
        <is>
          <t>Sheet P4 #4 / P9 #5</t>
        </is>
      </c>
      <c r="L29" s="59" t="inlineStr">
        <is>
          <t>HashMap + Heap / Bucket Sort</t>
        </is>
      </c>
      <c r="M29" s="38" t="inlineStr">
        <is>
          <t>Return the k most frequent elements.</t>
        </is>
      </c>
      <c r="N29" s="38" t="inlineStr">
        <is>
          <t>Count, then sort by frequency -&gt; O(n log n).</t>
        </is>
      </c>
      <c r="O29" s="38" t="inlineStr">
        <is>
          <t>Count with a HashMap. Either a min-heap of size k (O(n log k)) or bucket sort by frequency (index = freq) scanned from high to low (O(n)).</t>
        </is>
      </c>
      <c r="P29" s="38" t="inlineStr">
        <is>
          <t>O(n log k) or O(n)</t>
        </is>
      </c>
      <c r="Q29" s="38" t="inlineStr">
        <is>
          <t>O(n)</t>
        </is>
      </c>
      <c r="R29" s="38" t="inlineStr">
        <is>
          <t>Bucket array size n+1. Know both approaches - revisit on Heaps week.</t>
        </is>
      </c>
      <c r="S29" s="38" t="inlineStr">
        <is>
          <t>Top K Frequent Words (LC 692) with tie-breaking.</t>
        </is>
      </c>
      <c r="T29" s="39" t="inlineStr">
        <is>
          <t>Not Started</t>
        </is>
      </c>
      <c r="U29" s="40" t="n"/>
      <c r="V29" s="39" t="n"/>
      <c r="W29" s="39" t="n"/>
      <c r="X29" s="41">
        <f>IF(U29&lt;&gt;"",U29+7,C29+7)</f>
        <v/>
      </c>
      <c r="Y29" s="42" t="n"/>
    </row>
    <row r="30" ht="105" customHeight="1">
      <c r="A30" s="56" t="n">
        <v>26</v>
      </c>
      <c r="B30" s="57" t="n">
        <v>4</v>
      </c>
      <c r="C30" s="58">
        <f>Dashboard!$C$5+A30-1</f>
        <v/>
      </c>
      <c r="D30" s="59" t="inlineStr">
        <is>
          <t>Hashing &amp; Prefix Sum</t>
        </is>
      </c>
      <c r="E30" s="57" t="inlineStr">
        <is>
          <t>Main</t>
        </is>
      </c>
      <c r="F30" s="60" t="inlineStr">
        <is>
          <t>Longest Subarray with Sum K</t>
        </is>
      </c>
      <c r="G30" s="57" t="inlineStr">
        <is>
          <t>LeetCode / GFG</t>
        </is>
      </c>
      <c r="H30" s="57" t="n">
        <v>325</v>
      </c>
      <c r="I30" s="61" t="inlineStr">
        <is>
          <t>Open</t>
        </is>
      </c>
      <c r="J30" s="57" t="inlineStr">
        <is>
          <t>Medium</t>
        </is>
      </c>
      <c r="K30" s="59" t="inlineStr">
        <is>
          <t>Sheet P4 #5</t>
        </is>
      </c>
      <c r="L30" s="59" t="inlineStr">
        <is>
          <t>Prefix Sum + HashMap (first index)</t>
        </is>
      </c>
      <c r="M30" s="38" t="inlineStr">
        <is>
          <t>Return the length of the longest subarray whose sum equals k (array may contain negatives). LC 325 is Premium - practise the free GFG version.</t>
        </is>
      </c>
      <c r="N30" s="38" t="inlineStr">
        <is>
          <t>All subarrays -&gt; O(n^2).</t>
        </is>
      </c>
      <c r="O30" s="38" t="inlineStr">
        <is>
          <t>Map prefixSum -&gt; EARLIEST index. If prefix == k, len = i+1. If prefix-k in map, len = i - map[prefix-k]. Only insert prefix if not already present.</t>
        </is>
      </c>
      <c r="P30" s="38" t="inlineStr">
        <is>
          <t>O(n)</t>
        </is>
      </c>
      <c r="Q30" s="38" t="inlineStr">
        <is>
          <t>O(n)</t>
        </is>
      </c>
      <c r="R30" s="38" t="inlineStr">
        <is>
          <t>Store the FIRST occurrence to maximise length. For positives-only, a sliding window works in O(1) space.</t>
        </is>
      </c>
      <c r="S30" s="38" t="inlineStr">
        <is>
          <t>Longest subarray with equal 0s and 1s (LC 525).</t>
        </is>
      </c>
      <c r="T30" s="39" t="inlineStr">
        <is>
          <t>Not Started</t>
        </is>
      </c>
      <c r="U30" s="40" t="n"/>
      <c r="V30" s="39" t="n"/>
      <c r="W30" s="39" t="n"/>
      <c r="X30" s="41">
        <f>IF(U30&lt;&gt;"",U30+7,C30+7)</f>
        <v/>
      </c>
      <c r="Y30" s="42" t="n"/>
    </row>
    <row r="31" ht="105" customHeight="1">
      <c r="A31" s="56" t="n">
        <v>27</v>
      </c>
      <c r="B31" s="57" t="n">
        <v>4</v>
      </c>
      <c r="C31" s="58">
        <f>Dashboard!$C$5+A31-1</f>
        <v/>
      </c>
      <c r="D31" s="59" t="inlineStr">
        <is>
          <t>Hashing &amp; Prefix Sum</t>
        </is>
      </c>
      <c r="E31" s="57" t="inlineStr">
        <is>
          <t>Main</t>
        </is>
      </c>
      <c r="F31" s="60" t="inlineStr">
        <is>
          <t>Count Number of Nice Subarrays</t>
        </is>
      </c>
      <c r="G31" s="57" t="inlineStr">
        <is>
          <t>LeetCode</t>
        </is>
      </c>
      <c r="H31" s="57" t="n">
        <v>1248</v>
      </c>
      <c r="I31" s="61" t="inlineStr">
        <is>
          <t>Open</t>
        </is>
      </c>
      <c r="J31" s="57" t="inlineStr">
        <is>
          <t>Medium</t>
        </is>
      </c>
      <c r="K31" s="59" t="inlineStr">
        <is>
          <t>Sheet P4 #6</t>
        </is>
      </c>
      <c r="L31" s="59" t="inlineStr">
        <is>
          <t>Prefix Sum + HashMap</t>
        </is>
      </c>
      <c r="M31" s="38" t="inlineStr">
        <is>
          <t>Count subarrays with exactly k odd numbers.</t>
        </is>
      </c>
      <c r="N31" s="38" t="inlineStr">
        <is>
          <t>All subarrays -&gt; O(n^2).</t>
        </is>
      </c>
      <c r="O31" s="38" t="inlineStr">
        <is>
          <t>Treat odd=1, even=0 and reuse 'Subarray Sum Equals K'. (Alt: atMost(k) - atMost(k-1) with sliding window.)</t>
        </is>
      </c>
      <c r="P31" s="38" t="inlineStr">
        <is>
          <t>O(n)</t>
        </is>
      </c>
      <c r="Q31" s="38" t="inlineStr">
        <is>
          <t>O(n) (O(1) with atMost trick)</t>
        </is>
      </c>
      <c r="R31" s="38" t="inlineStr">
        <is>
          <t>Recognise the transformation - many problems reduce to LC 560.</t>
        </is>
      </c>
      <c r="S31" s="38" t="inlineStr">
        <is>
          <t>Binary Subarrays With Sum (LC 930).</t>
        </is>
      </c>
      <c r="T31" s="39" t="inlineStr">
        <is>
          <t>Not Started</t>
        </is>
      </c>
      <c r="U31" s="40" t="n"/>
      <c r="V31" s="39" t="n"/>
      <c r="W31" s="39" t="n"/>
      <c r="X31" s="41">
        <f>IF(U31&lt;&gt;"",U31+7,C31+7)</f>
        <v/>
      </c>
      <c r="Y31" s="42" t="n"/>
    </row>
    <row r="32" ht="105" customHeight="1">
      <c r="A32" s="56" t="n">
        <v>28</v>
      </c>
      <c r="B32" s="57" t="n">
        <v>4</v>
      </c>
      <c r="C32" s="58">
        <f>Dashboard!$C$5+A32-1</f>
        <v/>
      </c>
      <c r="D32" s="59" t="inlineStr">
        <is>
          <t>Hashing &amp; Prefix Sum</t>
        </is>
      </c>
      <c r="E32" s="57" t="inlineStr">
        <is>
          <t>Main</t>
        </is>
      </c>
      <c r="F32" s="60" t="inlineStr">
        <is>
          <t>Contiguous Array</t>
        </is>
      </c>
      <c r="G32" s="57" t="inlineStr">
        <is>
          <t>LeetCode</t>
        </is>
      </c>
      <c r="H32" s="57" t="n">
        <v>525</v>
      </c>
      <c r="I32" s="61" t="inlineStr">
        <is>
          <t>Open</t>
        </is>
      </c>
      <c r="J32" s="57" t="inlineStr">
        <is>
          <t>Medium</t>
        </is>
      </c>
      <c r="K32" s="59" t="inlineStr">
        <is>
          <t>Added</t>
        </is>
      </c>
      <c r="L32" s="59" t="inlineStr">
        <is>
          <t>Prefix Sum + HashMap</t>
        </is>
      </c>
      <c r="M32" s="38" t="inlineStr">
        <is>
          <t>Find the maximum length of a contiguous subarray with an equal number of 0s and 1s.</t>
        </is>
      </c>
      <c r="N32" s="38" t="inlineStr">
        <is>
          <t>All subarrays -&gt; O(n^2).</t>
        </is>
      </c>
      <c r="O32" s="38" t="inlineStr">
        <is>
          <t>Map 0 -&gt; -1, then find the longest subarray with sum 0 using prefix -&gt; first index (seed {0:-1}).</t>
        </is>
      </c>
      <c r="P32" s="38" t="inlineStr">
        <is>
          <t>O(n)</t>
        </is>
      </c>
      <c r="Q32" s="38" t="inlineStr">
        <is>
          <t>O(n)</t>
        </is>
      </c>
      <c r="R32" s="38" t="inlineStr">
        <is>
          <t>Seed map with {0: -1} so subarrays starting at index 0 count.</t>
        </is>
      </c>
      <c r="S32" s="38" t="inlineStr">
        <is>
          <t>Same pattern as Day 26.</t>
        </is>
      </c>
      <c r="T32" s="39" t="inlineStr">
        <is>
          <t>Not Started</t>
        </is>
      </c>
      <c r="U32" s="40" t="n"/>
      <c r="V32" s="39" t="n"/>
      <c r="W32" s="39" t="n"/>
      <c r="X32" s="41">
        <f>IF(U32&lt;&gt;"",U32+7,C32+7)</f>
        <v/>
      </c>
      <c r="Y32" s="42" t="n"/>
    </row>
    <row r="33" ht="105" customHeight="1">
      <c r="A33" s="63" t="n">
        <v>29</v>
      </c>
      <c r="B33" s="64" t="n">
        <v>5</v>
      </c>
      <c r="C33" s="65">
        <f>Dashboard!$C$5+A33-1</f>
        <v/>
      </c>
      <c r="D33" s="66" t="inlineStr">
        <is>
          <t>Linked List</t>
        </is>
      </c>
      <c r="E33" s="64" t="inlineStr">
        <is>
          <t>Main</t>
        </is>
      </c>
      <c r="F33" s="67" t="inlineStr">
        <is>
          <t>Reverse Linked List</t>
        </is>
      </c>
      <c r="G33" s="64" t="inlineStr">
        <is>
          <t>LeetCode</t>
        </is>
      </c>
      <c r="H33" s="64" t="n">
        <v>206</v>
      </c>
      <c r="I33" s="68" t="inlineStr">
        <is>
          <t>Open</t>
        </is>
      </c>
      <c r="J33" s="64" t="inlineStr">
        <is>
          <t>Easy</t>
        </is>
      </c>
      <c r="K33" s="66" t="inlineStr">
        <is>
          <t>Sheet P5 #1</t>
        </is>
      </c>
      <c r="L33" s="66" t="inlineStr">
        <is>
          <t>Three Pointers (iterative)</t>
        </is>
      </c>
      <c r="M33" s="38" t="inlineStr">
        <is>
          <t>Reverse a singly linked list and return the new head.</t>
        </is>
      </c>
      <c r="N33" s="38" t="inlineStr">
        <is>
          <t>Copy values to an array and rebuild -&gt; O(n) extra space.</t>
        </is>
      </c>
      <c r="O33" s="38" t="inlineStr">
        <is>
          <t>prev=null, curr=head. Loop: next=curr.next; curr.next=prev; prev=curr; curr=next. Return prev.</t>
        </is>
      </c>
      <c r="P33" s="38" t="inlineStr">
        <is>
          <t>O(n)</t>
        </is>
      </c>
      <c r="Q33" s="38" t="inlineStr">
        <is>
          <t>O(1) (O(n) recursive)</t>
        </is>
      </c>
      <c r="R33" s="38" t="inlineStr">
        <is>
          <t>Save next BEFORE changing curr.next. Also practise the recursive version.</t>
        </is>
      </c>
      <c r="S33" s="38" t="inlineStr">
        <is>
          <t>Reverse between positions (LC 92). Reverse in k-groups (LC 25).</t>
        </is>
      </c>
      <c r="T33" s="39" t="inlineStr">
        <is>
          <t>Not Started</t>
        </is>
      </c>
      <c r="U33" s="40" t="n"/>
      <c r="V33" s="39" t="n"/>
      <c r="W33" s="39" t="n"/>
      <c r="X33" s="41">
        <f>IF(U33&lt;&gt;"",U33+7,C33+7)</f>
        <v/>
      </c>
      <c r="Y33" s="42" t="n"/>
    </row>
    <row r="34" ht="105" customHeight="1">
      <c r="A34" s="63" t="n">
        <v>30</v>
      </c>
      <c r="B34" s="64" t="n">
        <v>5</v>
      </c>
      <c r="C34" s="65">
        <f>Dashboard!$C$5+A34-1</f>
        <v/>
      </c>
      <c r="D34" s="66" t="inlineStr">
        <is>
          <t>Linked List</t>
        </is>
      </c>
      <c r="E34" s="64" t="inlineStr">
        <is>
          <t>Main</t>
        </is>
      </c>
      <c r="F34" s="67" t="inlineStr">
        <is>
          <t>Middle of the Linked List</t>
        </is>
      </c>
      <c r="G34" s="64" t="inlineStr">
        <is>
          <t>LeetCode</t>
        </is>
      </c>
      <c r="H34" s="64" t="n">
        <v>876</v>
      </c>
      <c r="I34" s="68" t="inlineStr">
        <is>
          <t>Open</t>
        </is>
      </c>
      <c r="J34" s="64" t="inlineStr">
        <is>
          <t>Easy</t>
        </is>
      </c>
      <c r="K34" s="66" t="inlineStr">
        <is>
          <t>Sheet P5 #3</t>
        </is>
      </c>
      <c r="L34" s="66" t="inlineStr">
        <is>
          <t>Fast &amp; Slow Pointers</t>
        </is>
      </c>
      <c r="M34" s="38" t="inlineStr">
        <is>
          <t>Return the middle node; if two middles, return the second one.</t>
        </is>
      </c>
      <c r="N34" s="38" t="inlineStr">
        <is>
          <t>Count length, then walk n/2 -&gt; two passes.</t>
        </is>
      </c>
      <c r="O34" s="38" t="inlineStr">
        <is>
          <t>slow moves 1, fast moves 2. When fast is null or fast.next is null, slow is the middle.</t>
        </is>
      </c>
      <c r="P34" s="38" t="inlineStr">
        <is>
          <t>O(n)</t>
        </is>
      </c>
      <c r="Q34" s="38" t="inlineStr">
        <is>
          <t>O(1)</t>
        </is>
      </c>
      <c r="R34" s="38" t="inlineStr">
        <is>
          <t>Loop condition 'fast &amp;&amp; fast.next' returns the SECOND middle; start fast at head.next for the first.</t>
        </is>
      </c>
      <c r="S34" s="38" t="inlineStr">
        <is>
          <t>Used as a building block in sort list / palindrome list.</t>
        </is>
      </c>
      <c r="T34" s="39" t="inlineStr">
        <is>
          <t>Not Started</t>
        </is>
      </c>
      <c r="U34" s="40" t="n"/>
      <c r="V34" s="39" t="n"/>
      <c r="W34" s="39" t="n"/>
      <c r="X34" s="41">
        <f>IF(U34&lt;&gt;"",U34+7,C34+7)</f>
        <v/>
      </c>
      <c r="Y34" s="42" t="n"/>
    </row>
    <row r="35" ht="105" customHeight="1">
      <c r="A35" s="63" t="n">
        <v>31</v>
      </c>
      <c r="B35" s="64" t="n">
        <v>5</v>
      </c>
      <c r="C35" s="65">
        <f>Dashboard!$C$5+A35-1</f>
        <v/>
      </c>
      <c r="D35" s="66" t="inlineStr">
        <is>
          <t>Linked List</t>
        </is>
      </c>
      <c r="E35" s="64" t="inlineStr">
        <is>
          <t>Main</t>
        </is>
      </c>
      <c r="F35" s="67" t="inlineStr">
        <is>
          <t>Linked List Cycle</t>
        </is>
      </c>
      <c r="G35" s="64" t="inlineStr">
        <is>
          <t>LeetCode</t>
        </is>
      </c>
      <c r="H35" s="64" t="n">
        <v>141</v>
      </c>
      <c r="I35" s="68" t="inlineStr">
        <is>
          <t>Open</t>
        </is>
      </c>
      <c r="J35" s="64" t="inlineStr">
        <is>
          <t>Easy</t>
        </is>
      </c>
      <c r="K35" s="66" t="inlineStr">
        <is>
          <t>Sheet P5 #2</t>
        </is>
      </c>
      <c r="L35" s="66" t="inlineStr">
        <is>
          <t>Floyd's Cycle Detection</t>
        </is>
      </c>
      <c r="M35" s="38" t="inlineStr">
        <is>
          <t>Return true if the linked list has a cycle.</t>
        </is>
      </c>
      <c r="N35" s="38" t="inlineStr">
        <is>
          <t>Store visited nodes in a HashSet -&gt; O(n) space.</t>
        </is>
      </c>
      <c r="O35" s="38" t="inlineStr">
        <is>
          <t>slow +1, fast +2. If they ever meet -&gt; cycle. If fast hits null -&gt; no cycle.</t>
        </is>
      </c>
      <c r="P35" s="38" t="inlineStr">
        <is>
          <t>O(n)</t>
        </is>
      </c>
      <c r="Q35" s="38" t="inlineStr">
        <is>
          <t>O(1)</t>
        </is>
      </c>
      <c r="R35" s="38" t="inlineStr">
        <is>
          <t>Check fast and fast.next before moving.</t>
        </is>
      </c>
      <c r="S35" s="38" t="inlineStr">
        <is>
          <t>Find the START of the cycle (bonus LC 142).</t>
        </is>
      </c>
      <c r="T35" s="39" t="inlineStr">
        <is>
          <t>Not Started</t>
        </is>
      </c>
      <c r="U35" s="40" t="n"/>
      <c r="V35" s="39" t="n"/>
      <c r="W35" s="39" t="n"/>
      <c r="X35" s="41">
        <f>IF(U35&lt;&gt;"",U35+7,C35+7)</f>
        <v/>
      </c>
      <c r="Y35" s="42" t="n"/>
    </row>
    <row r="36" ht="105" customHeight="1">
      <c r="A36" s="63" t="n">
        <v>31</v>
      </c>
      <c r="B36" s="64" t="n">
        <v>5</v>
      </c>
      <c r="C36" s="65">
        <f>Dashboard!$C$5+A36-1</f>
        <v/>
      </c>
      <c r="D36" s="66" t="inlineStr">
        <is>
          <t>Linked List</t>
        </is>
      </c>
      <c r="E36" s="64" t="inlineStr">
        <is>
          <t>Bonus</t>
        </is>
      </c>
      <c r="F36" s="69" t="inlineStr">
        <is>
          <t>Linked List Cycle II</t>
        </is>
      </c>
      <c r="G36" s="64" t="inlineStr">
        <is>
          <t>LeetCode</t>
        </is>
      </c>
      <c r="H36" s="64" t="n">
        <v>142</v>
      </c>
      <c r="I36" s="68" t="inlineStr">
        <is>
          <t>Open</t>
        </is>
      </c>
      <c r="J36" s="64" t="inlineStr">
        <is>
          <t>Medium</t>
        </is>
      </c>
      <c r="K36" s="66" t="inlineStr">
        <is>
          <t>Added (sheet mentions 'start of cycle')</t>
        </is>
      </c>
      <c r="L36" s="66" t="inlineStr">
        <is>
          <t>Floyd's Cycle Detection</t>
        </is>
      </c>
      <c r="M36" s="38" t="inlineStr">
        <is>
          <t>Return the node where the cycle begins, or null.</t>
        </is>
      </c>
      <c r="N36" s="38" t="inlineStr">
        <is>
          <t>HashSet of visited nodes -&gt; O(n) space.</t>
        </is>
      </c>
      <c r="O36" s="38" t="inlineStr">
        <is>
          <t>After slow and fast meet, move one pointer to head; advance both by 1. They meet at the cycle start.</t>
        </is>
      </c>
      <c r="P36" s="38" t="inlineStr">
        <is>
          <t>O(n)</t>
        </is>
      </c>
      <c r="Q36" s="38" t="inlineStr">
        <is>
          <t>O(1)</t>
        </is>
      </c>
      <c r="R36" s="38" t="inlineStr">
        <is>
          <t>Know the math: distance(head-&gt;start) = distance(meet-&gt;start) mod cycle length.</t>
        </is>
      </c>
      <c r="S36" s="38" t="inlineStr">
        <is>
          <t>Find Duplicate Number (LC 287) uses the same idea.</t>
        </is>
      </c>
      <c r="T36" s="39" t="inlineStr">
        <is>
          <t>Not Started</t>
        </is>
      </c>
      <c r="U36" s="40" t="n"/>
      <c r="V36" s="39" t="n"/>
      <c r="W36" s="39" t="n"/>
      <c r="X36" s="41">
        <f>IF(U36&lt;&gt;"",U36+7,C36+7)</f>
        <v/>
      </c>
      <c r="Y36" s="42" t="n"/>
    </row>
    <row r="37" ht="105" customHeight="1">
      <c r="A37" s="63" t="n">
        <v>32</v>
      </c>
      <c r="B37" s="64" t="n">
        <v>5</v>
      </c>
      <c r="C37" s="65">
        <f>Dashboard!$C$5+A37-1</f>
        <v/>
      </c>
      <c r="D37" s="66" t="inlineStr">
        <is>
          <t>Linked List</t>
        </is>
      </c>
      <c r="E37" s="64" t="inlineStr">
        <is>
          <t>Main</t>
        </is>
      </c>
      <c r="F37" s="67" t="inlineStr">
        <is>
          <t>Merge Two Sorted Lists</t>
        </is>
      </c>
      <c r="G37" s="64" t="inlineStr">
        <is>
          <t>LeetCode</t>
        </is>
      </c>
      <c r="H37" s="64" t="n">
        <v>21</v>
      </c>
      <c r="I37" s="68" t="inlineStr">
        <is>
          <t>Open</t>
        </is>
      </c>
      <c r="J37" s="64" t="inlineStr">
        <is>
          <t>Easy</t>
        </is>
      </c>
      <c r="K37" s="66" t="inlineStr">
        <is>
          <t>Sheet P5 #4</t>
        </is>
      </c>
      <c r="L37" s="66" t="inlineStr">
        <is>
          <t>Two Pointers + Dummy Node</t>
        </is>
      </c>
      <c r="M37" s="38" t="inlineStr">
        <is>
          <t>Merge two sorted linked lists into one sorted list.</t>
        </is>
      </c>
      <c r="N37" s="38" t="inlineStr">
        <is>
          <t>Collect values, sort, rebuild -&gt; O((n+m) log(n+m)).</t>
        </is>
      </c>
      <c r="O37" s="38" t="inlineStr">
        <is>
          <t>Dummy head + tail pointer. Attach the smaller node each step; at the end attach the remaining list.</t>
        </is>
      </c>
      <c r="P37" s="38" t="inlineStr">
        <is>
          <t>O(n + m)</t>
        </is>
      </c>
      <c r="Q37" s="38" t="inlineStr">
        <is>
          <t>O(1)</t>
        </is>
      </c>
      <c r="R37" s="38" t="inlineStr">
        <is>
          <t>Dummy node removes head edge cases. Don't forget the leftover list.</t>
        </is>
      </c>
      <c r="S37" s="38" t="inlineStr">
        <is>
          <t>Merge K sorted lists (Day 64).</t>
        </is>
      </c>
      <c r="T37" s="39" t="inlineStr">
        <is>
          <t>Not Started</t>
        </is>
      </c>
      <c r="U37" s="40" t="n"/>
      <c r="V37" s="39" t="n"/>
      <c r="W37" s="39" t="n"/>
      <c r="X37" s="41">
        <f>IF(U37&lt;&gt;"",U37+7,C37+7)</f>
        <v/>
      </c>
      <c r="Y37" s="42" t="n"/>
    </row>
    <row r="38" ht="105" customHeight="1">
      <c r="A38" s="63" t="n">
        <v>33</v>
      </c>
      <c r="B38" s="64" t="n">
        <v>5</v>
      </c>
      <c r="C38" s="65">
        <f>Dashboard!$C$5+A38-1</f>
        <v/>
      </c>
      <c r="D38" s="66" t="inlineStr">
        <is>
          <t>Linked List</t>
        </is>
      </c>
      <c r="E38" s="64" t="inlineStr">
        <is>
          <t>Main</t>
        </is>
      </c>
      <c r="F38" s="67" t="inlineStr">
        <is>
          <t>Remove Nth Node From End of List</t>
        </is>
      </c>
      <c r="G38" s="64" t="inlineStr">
        <is>
          <t>LeetCode</t>
        </is>
      </c>
      <c r="H38" s="64" t="n">
        <v>19</v>
      </c>
      <c r="I38" s="68" t="inlineStr">
        <is>
          <t>Open</t>
        </is>
      </c>
      <c r="J38" s="64" t="inlineStr">
        <is>
          <t>Medium</t>
        </is>
      </c>
      <c r="K38" s="66" t="inlineStr">
        <is>
          <t>Sheet P5 #5</t>
        </is>
      </c>
      <c r="L38" s="66" t="inlineStr">
        <is>
          <t>Two Pointers (gap)</t>
        </is>
      </c>
      <c r="M38" s="38" t="inlineStr">
        <is>
          <t>Remove the n-th node from the end and return the head, in one pass.</t>
        </is>
      </c>
      <c r="N38" s="38" t="inlineStr">
        <is>
          <t>Count length, then remove (L-n)th node -&gt; two passes.</t>
        </is>
      </c>
      <c r="O38" s="38" t="inlineStr">
        <is>
          <t>Dummy -&gt; head. Move fast n+1 steps from dummy; then move both until fast is null. slow.next is the target: slow.next = slow.next.next.</t>
        </is>
      </c>
      <c r="P38" s="38" t="inlineStr">
        <is>
          <t>O(n)</t>
        </is>
      </c>
      <c r="Q38" s="38" t="inlineStr">
        <is>
          <t>O(1)</t>
        </is>
      </c>
      <c r="R38" s="38" t="inlineStr">
        <is>
          <t>Use a dummy node so removing the head works.</t>
        </is>
      </c>
      <c r="S38" s="38" t="inlineStr">
        <is>
          <t>Rotate List (LC 61).</t>
        </is>
      </c>
      <c r="T38" s="39" t="inlineStr">
        <is>
          <t>Not Started</t>
        </is>
      </c>
      <c r="U38" s="40" t="n"/>
      <c r="V38" s="39" t="n"/>
      <c r="W38" s="39" t="n"/>
      <c r="X38" s="41">
        <f>IF(U38&lt;&gt;"",U38+7,C38+7)</f>
        <v/>
      </c>
      <c r="Y38" s="42" t="n"/>
    </row>
    <row r="39" ht="105" customHeight="1">
      <c r="A39" s="63" t="n">
        <v>34</v>
      </c>
      <c r="B39" s="64" t="n">
        <v>5</v>
      </c>
      <c r="C39" s="65">
        <f>Dashboard!$C$5+A39-1</f>
        <v/>
      </c>
      <c r="D39" s="66" t="inlineStr">
        <is>
          <t>Linked List</t>
        </is>
      </c>
      <c r="E39" s="64" t="inlineStr">
        <is>
          <t>Main</t>
        </is>
      </c>
      <c r="F39" s="67" t="inlineStr">
        <is>
          <t>Intersection of Two Linked Lists</t>
        </is>
      </c>
      <c r="G39" s="64" t="inlineStr">
        <is>
          <t>LeetCode</t>
        </is>
      </c>
      <c r="H39" s="64" t="n">
        <v>160</v>
      </c>
      <c r="I39" s="68" t="inlineStr">
        <is>
          <t>Open</t>
        </is>
      </c>
      <c r="J39" s="64" t="inlineStr">
        <is>
          <t>Easy</t>
        </is>
      </c>
      <c r="K39" s="66" t="inlineStr">
        <is>
          <t>Sheet P5 #6</t>
        </is>
      </c>
      <c r="L39" s="66" t="inlineStr">
        <is>
          <t>Two Pointers (switch heads)</t>
        </is>
      </c>
      <c r="M39" s="38" t="inlineStr">
        <is>
          <t>Return the node at which two singly linked lists intersect, or null.</t>
        </is>
      </c>
      <c r="N39" s="38" t="inlineStr">
        <is>
          <t>HashSet of nodes from list A -&gt; O(n) space.</t>
        </is>
      </c>
      <c r="O39" s="38" t="inlineStr">
        <is>
          <t>a=headA, b=headB. Advance both; when one hits null, redirect it to the other head. They meet at the intersection (or both null).</t>
        </is>
      </c>
      <c r="P39" s="38" t="inlineStr">
        <is>
          <t>O(n + m)</t>
        </is>
      </c>
      <c r="Q39" s="38" t="inlineStr">
        <is>
          <t>O(1)</t>
        </is>
      </c>
      <c r="R39" s="38" t="inlineStr">
        <is>
          <t>Compare node references, not values. Both travel lenA+lenB so they sync up.</t>
        </is>
      </c>
      <c r="S39" s="38" t="inlineStr">
        <is>
          <t>Length-difference approach as an alternative.</t>
        </is>
      </c>
      <c r="T39" s="39" t="inlineStr">
        <is>
          <t>Not Started</t>
        </is>
      </c>
      <c r="U39" s="40" t="n"/>
      <c r="V39" s="39" t="n"/>
      <c r="W39" s="39" t="n"/>
      <c r="X39" s="41">
        <f>IF(U39&lt;&gt;"",U39+7,C39+7)</f>
        <v/>
      </c>
      <c r="Y39" s="42" t="n"/>
    </row>
    <row r="40" ht="105" customHeight="1">
      <c r="A40" s="63" t="n">
        <v>35</v>
      </c>
      <c r="B40" s="64" t="n">
        <v>5</v>
      </c>
      <c r="C40" s="65">
        <f>Dashboard!$C$5+A40-1</f>
        <v/>
      </c>
      <c r="D40" s="66" t="inlineStr">
        <is>
          <t>Linked List</t>
        </is>
      </c>
      <c r="E40" s="64" t="inlineStr">
        <is>
          <t>Main</t>
        </is>
      </c>
      <c r="F40" s="67" t="inlineStr">
        <is>
          <t>Palindrome Linked List</t>
        </is>
      </c>
      <c r="G40" s="64" t="inlineStr">
        <is>
          <t>LeetCode</t>
        </is>
      </c>
      <c r="H40" s="64" t="n">
        <v>234</v>
      </c>
      <c r="I40" s="68" t="inlineStr">
        <is>
          <t>Open</t>
        </is>
      </c>
      <c r="J40" s="64" t="inlineStr">
        <is>
          <t>Easy</t>
        </is>
      </c>
      <c r="K40" s="66" t="inlineStr">
        <is>
          <t>Added (combines Day 29 + 30)</t>
        </is>
      </c>
      <c r="L40" s="66" t="inlineStr">
        <is>
          <t>Fast/Slow + Reverse</t>
        </is>
      </c>
      <c r="M40" s="38" t="inlineStr">
        <is>
          <t>Return true if the linked list is a palindrome, in O(1) extra space.</t>
        </is>
      </c>
      <c r="N40" s="38" t="inlineStr">
        <is>
          <t>Copy to an array and use two pointers -&gt; O(n) space.</t>
        </is>
      </c>
      <c r="O40" s="38" t="inlineStr">
        <is>
          <t>Find middle (fast/slow), reverse the second half, compare with the first half. (Optionally restore.)</t>
        </is>
      </c>
      <c r="P40" s="38" t="inlineStr">
        <is>
          <t>O(n)</t>
        </is>
      </c>
      <c r="Q40" s="38" t="inlineStr">
        <is>
          <t>O(1)</t>
        </is>
      </c>
      <c r="R40" s="38" t="inlineStr">
        <is>
          <t>Great revision problem: combines middle-finding and reversal.</t>
        </is>
      </c>
      <c r="S40" s="38" t="inlineStr">
        <is>
          <t>Reorder List (LC 143).</t>
        </is>
      </c>
      <c r="T40" s="39" t="inlineStr">
        <is>
          <t>Not Started</t>
        </is>
      </c>
      <c r="U40" s="40" t="n"/>
      <c r="V40" s="39" t="n"/>
      <c r="W40" s="39" t="n"/>
      <c r="X40" s="41">
        <f>IF(U40&lt;&gt;"",U40+7,C40+7)</f>
        <v/>
      </c>
      <c r="Y40" s="42" t="n"/>
    </row>
    <row r="41" ht="105" customHeight="1">
      <c r="A41" s="70" t="n">
        <v>36</v>
      </c>
      <c r="B41" s="71" t="n">
        <v>6</v>
      </c>
      <c r="C41" s="72">
        <f>Dashboard!$C$5+A41-1</f>
        <v/>
      </c>
      <c r="D41" s="73" t="inlineStr">
        <is>
          <t>Stacks &amp; Queues</t>
        </is>
      </c>
      <c r="E41" s="71" t="inlineStr">
        <is>
          <t>Main</t>
        </is>
      </c>
      <c r="F41" s="74" t="inlineStr">
        <is>
          <t>Valid Parentheses</t>
        </is>
      </c>
      <c r="G41" s="71" t="inlineStr">
        <is>
          <t>LeetCode</t>
        </is>
      </c>
      <c r="H41" s="71" t="n">
        <v>20</v>
      </c>
      <c r="I41" s="75" t="inlineStr">
        <is>
          <t>Open</t>
        </is>
      </c>
      <c r="J41" s="71" t="inlineStr">
        <is>
          <t>Easy</t>
        </is>
      </c>
      <c r="K41" s="73" t="inlineStr">
        <is>
          <t>Sheet P6 #1</t>
        </is>
      </c>
      <c r="L41" s="73" t="inlineStr">
        <is>
          <t>Stack</t>
        </is>
      </c>
      <c r="M41" s="38" t="inlineStr">
        <is>
          <t>Given a string of ()[]{} characters, determine if brackets are closed in the correct order.</t>
        </is>
      </c>
      <c r="N41" s="38" t="inlineStr">
        <is>
          <t>Repeatedly remove '()', '[]', '{}' pairs -&gt; O(n^2).</t>
        </is>
      </c>
      <c r="O41" s="38" t="inlineStr">
        <is>
          <t>Push opening brackets. For a closing bracket, the top must be its matching opener; pop. Stack must be empty at the end.</t>
        </is>
      </c>
      <c r="P41" s="38" t="inlineStr">
        <is>
          <t>O(n)</t>
        </is>
      </c>
      <c r="Q41" s="38" t="inlineStr">
        <is>
          <t>O(n)</t>
        </is>
      </c>
      <c r="R41" s="38" t="inlineStr">
        <is>
          <t>Check for empty stack before popping. Odd length -&gt; immediately false.</t>
        </is>
      </c>
      <c r="S41" s="38" t="inlineStr">
        <is>
          <t>Minimum Remove to Make Valid Parentheses (LC 1249).</t>
        </is>
      </c>
      <c r="T41" s="39" t="inlineStr">
        <is>
          <t>Not Started</t>
        </is>
      </c>
      <c r="U41" s="40" t="n"/>
      <c r="V41" s="39" t="n"/>
      <c r="W41" s="39" t="n"/>
      <c r="X41" s="41">
        <f>IF(U41&lt;&gt;"",U41+7,C41+7)</f>
        <v/>
      </c>
      <c r="Y41" s="42" t="n"/>
    </row>
    <row r="42" ht="105" customHeight="1">
      <c r="A42" s="70" t="n">
        <v>37</v>
      </c>
      <c r="B42" s="71" t="n">
        <v>6</v>
      </c>
      <c r="C42" s="72">
        <f>Dashboard!$C$5+A42-1</f>
        <v/>
      </c>
      <c r="D42" s="73" t="inlineStr">
        <is>
          <t>Stacks &amp; Queues</t>
        </is>
      </c>
      <c r="E42" s="71" t="inlineStr">
        <is>
          <t>Main</t>
        </is>
      </c>
      <c r="F42" s="74" t="inlineStr">
        <is>
          <t>Min Stack</t>
        </is>
      </c>
      <c r="G42" s="71" t="inlineStr">
        <is>
          <t>LeetCode</t>
        </is>
      </c>
      <c r="H42" s="71" t="n">
        <v>155</v>
      </c>
      <c r="I42" s="75" t="inlineStr">
        <is>
          <t>Open</t>
        </is>
      </c>
      <c r="J42" s="71" t="inlineStr">
        <is>
          <t>Medium</t>
        </is>
      </c>
      <c r="K42" s="73" t="inlineStr">
        <is>
          <t>Sheet P6 #2</t>
        </is>
      </c>
      <c r="L42" s="73" t="inlineStr">
        <is>
          <t>Stack with auxiliary min</t>
        </is>
      </c>
      <c r="M42" s="38" t="inlineStr">
        <is>
          <t>Design a stack supporting push, pop, top and getMin all in O(1).</t>
        </is>
      </c>
      <c r="N42" s="38" t="inlineStr">
        <is>
          <t>Scan the stack for min on each getMin -&gt; O(n).</t>
        </is>
      </c>
      <c r="O42" s="38" t="inlineStr">
        <is>
          <t>Store pairs (value, minSoFar) or keep a second stack of minimums.</t>
        </is>
      </c>
      <c r="P42" s="38" t="inlineStr">
        <is>
          <t>O(1) per op</t>
        </is>
      </c>
      <c r="Q42" s="38" t="inlineStr">
        <is>
          <t>O(n)</t>
        </is>
      </c>
      <c r="R42" s="38" t="inlineStr">
        <is>
          <t>When using a separate min stack, push on &lt;= (not &lt;) to handle duplicates.</t>
        </is>
      </c>
      <c r="S42" s="38" t="inlineStr">
        <is>
          <t>O(1) extra space trick with encoded values (2*x - min).</t>
        </is>
      </c>
      <c r="T42" s="39" t="inlineStr">
        <is>
          <t>Not Started</t>
        </is>
      </c>
      <c r="U42" s="40" t="n"/>
      <c r="V42" s="39" t="n"/>
      <c r="W42" s="39" t="n"/>
      <c r="X42" s="41">
        <f>IF(U42&lt;&gt;"",U42+7,C42+7)</f>
        <v/>
      </c>
      <c r="Y42" s="42" t="n"/>
    </row>
    <row r="43" ht="105" customHeight="1">
      <c r="A43" s="70" t="n">
        <v>38</v>
      </c>
      <c r="B43" s="71" t="n">
        <v>6</v>
      </c>
      <c r="C43" s="72">
        <f>Dashboard!$C$5+A43-1</f>
        <v/>
      </c>
      <c r="D43" s="73" t="inlineStr">
        <is>
          <t>Stacks &amp; Queues</t>
        </is>
      </c>
      <c r="E43" s="71" t="inlineStr">
        <is>
          <t>Main</t>
        </is>
      </c>
      <c r="F43" s="74" t="inlineStr">
        <is>
          <t>Implement Queue using Stacks</t>
        </is>
      </c>
      <c r="G43" s="71" t="inlineStr">
        <is>
          <t>LeetCode</t>
        </is>
      </c>
      <c r="H43" s="71" t="n">
        <v>232</v>
      </c>
      <c r="I43" s="75" t="inlineStr">
        <is>
          <t>Open</t>
        </is>
      </c>
      <c r="J43" s="71" t="inlineStr">
        <is>
          <t>Easy</t>
        </is>
      </c>
      <c r="K43" s="73" t="inlineStr">
        <is>
          <t>Sheet P6 #5</t>
        </is>
      </c>
      <c r="L43" s="73" t="inlineStr">
        <is>
          <t>Two Stacks</t>
        </is>
      </c>
      <c r="M43" s="38" t="inlineStr">
        <is>
          <t>Implement a FIFO queue using only two stacks.</t>
        </is>
      </c>
      <c r="N43" s="38" t="inlineStr">
        <is>
          <t>Move all elements back and forth on every operation -&gt; O(n) each.</t>
        </is>
      </c>
      <c r="O43" s="38" t="inlineStr">
        <is>
          <t>push -&gt; inStack. pop/peek: if outStack empty, move everything from inStack to outStack; then pop/peek outStack.</t>
        </is>
      </c>
      <c r="P43" s="38" t="inlineStr">
        <is>
          <t>Amortized O(1)</t>
        </is>
      </c>
      <c r="Q43" s="38" t="inlineStr">
        <is>
          <t>O(n)</t>
        </is>
      </c>
      <c r="R43" s="38" t="inlineStr">
        <is>
          <t>Only transfer when outStack is empty - that's what makes it amortized O(1).</t>
        </is>
      </c>
      <c r="S43" s="38" t="inlineStr">
        <is>
          <t>Explain amortized analysis in the interview.</t>
        </is>
      </c>
      <c r="T43" s="39" t="inlineStr">
        <is>
          <t>Not Started</t>
        </is>
      </c>
      <c r="U43" s="40" t="n"/>
      <c r="V43" s="39" t="n"/>
      <c r="W43" s="39" t="n"/>
      <c r="X43" s="41">
        <f>IF(U43&lt;&gt;"",U43+7,C43+7)</f>
        <v/>
      </c>
      <c r="Y43" s="42" t="n"/>
    </row>
    <row r="44" ht="105" customHeight="1">
      <c r="A44" s="70" t="n">
        <v>38</v>
      </c>
      <c r="B44" s="71" t="n">
        <v>6</v>
      </c>
      <c r="C44" s="72">
        <f>Dashboard!$C$5+A44-1</f>
        <v/>
      </c>
      <c r="D44" s="73" t="inlineStr">
        <is>
          <t>Stacks &amp; Queues</t>
        </is>
      </c>
      <c r="E44" s="71" t="inlineStr">
        <is>
          <t>Bonus</t>
        </is>
      </c>
      <c r="F44" s="76" t="inlineStr">
        <is>
          <t>Implement Stack using Queues</t>
        </is>
      </c>
      <c r="G44" s="71" t="inlineStr">
        <is>
          <t>LeetCode</t>
        </is>
      </c>
      <c r="H44" s="71" t="n">
        <v>225</v>
      </c>
      <c r="I44" s="75" t="inlineStr">
        <is>
          <t>Open</t>
        </is>
      </c>
      <c r="J44" s="71" t="inlineStr">
        <is>
          <t>Easy</t>
        </is>
      </c>
      <c r="K44" s="73" t="inlineStr">
        <is>
          <t>Sheet P6 #6</t>
        </is>
      </c>
      <c r="L44" s="73" t="inlineStr">
        <is>
          <t>Queue rotation</t>
        </is>
      </c>
      <c r="M44" s="38" t="inlineStr">
        <is>
          <t>Implement a LIFO stack using only queue operations.</t>
        </is>
      </c>
      <c r="N44" s="38" t="inlineStr">
        <is>
          <t>Two queues, transfer on each pop.</t>
        </is>
      </c>
      <c r="O44" s="38" t="inlineStr">
        <is>
          <t>One queue: on push, enqueue x then rotate the previous size elements to the back so x is at the front.</t>
        </is>
      </c>
      <c r="P44" s="38" t="inlineStr">
        <is>
          <t>push O(n), pop O(1)</t>
        </is>
      </c>
      <c r="Q44" s="38" t="inlineStr">
        <is>
          <t>O(n)</t>
        </is>
      </c>
      <c r="R44" s="38" t="inlineStr">
        <is>
          <t>Decide which operation you make expensive (push or pop).</t>
        </is>
      </c>
      <c r="S44" s="38" t="inlineStr"/>
      <c r="T44" s="39" t="inlineStr">
        <is>
          <t>Not Started</t>
        </is>
      </c>
      <c r="U44" s="40" t="n"/>
      <c r="V44" s="39" t="n"/>
      <c r="W44" s="39" t="n"/>
      <c r="X44" s="41">
        <f>IF(U44&lt;&gt;"",U44+7,C44+7)</f>
        <v/>
      </c>
      <c r="Y44" s="42" t="n"/>
    </row>
    <row r="45" ht="105" customHeight="1">
      <c r="A45" s="70" t="n">
        <v>39</v>
      </c>
      <c r="B45" s="71" t="n">
        <v>6</v>
      </c>
      <c r="C45" s="72">
        <f>Dashboard!$C$5+A45-1</f>
        <v/>
      </c>
      <c r="D45" s="73" t="inlineStr">
        <is>
          <t>Stacks &amp; Queues</t>
        </is>
      </c>
      <c r="E45" s="71" t="inlineStr">
        <is>
          <t>Main</t>
        </is>
      </c>
      <c r="F45" s="74" t="inlineStr">
        <is>
          <t>Evaluate Reverse Polish Notation</t>
        </is>
      </c>
      <c r="G45" s="71" t="inlineStr">
        <is>
          <t>LeetCode</t>
        </is>
      </c>
      <c r="H45" s="71" t="n">
        <v>150</v>
      </c>
      <c r="I45" s="75" t="inlineStr">
        <is>
          <t>Open</t>
        </is>
      </c>
      <c r="J45" s="71" t="inlineStr">
        <is>
          <t>Medium</t>
        </is>
      </c>
      <c r="K45" s="73" t="inlineStr">
        <is>
          <t>Sheet P6 #7</t>
        </is>
      </c>
      <c r="L45" s="73" t="inlineStr">
        <is>
          <t>Stack (expression evaluation)</t>
        </is>
      </c>
      <c r="M45" s="38" t="inlineStr">
        <is>
          <t>Evaluate an arithmetic expression given in postfix (RPN) tokens.</t>
        </is>
      </c>
      <c r="N45" s="38" t="inlineStr">
        <is>
          <t>-</t>
        </is>
      </c>
      <c r="O45" s="38" t="inlineStr">
        <is>
          <t>Number -&gt; push. Operator -&gt; pop b, pop a, push (a op b).</t>
        </is>
      </c>
      <c r="P45" s="38" t="inlineStr">
        <is>
          <t>O(n)</t>
        </is>
      </c>
      <c r="Q45" s="38" t="inlineStr">
        <is>
          <t>O(n)</t>
        </is>
      </c>
      <c r="R45" s="38" t="inlineStr">
        <is>
          <t>Operand order: a - b and a / b where b is popped FIRST. Division truncates toward zero.</t>
        </is>
      </c>
      <c r="S45" s="38" t="inlineStr">
        <is>
          <t>Basic Calculator (LC 224 / 227).</t>
        </is>
      </c>
      <c r="T45" s="39" t="inlineStr">
        <is>
          <t>Not Started</t>
        </is>
      </c>
      <c r="U45" s="40" t="n"/>
      <c r="V45" s="39" t="n"/>
      <c r="W45" s="39" t="n"/>
      <c r="X45" s="41">
        <f>IF(U45&lt;&gt;"",U45+7,C45+7)</f>
        <v/>
      </c>
      <c r="Y45" s="42" t="n"/>
    </row>
    <row r="46" ht="105" customHeight="1">
      <c r="A46" s="70" t="n">
        <v>40</v>
      </c>
      <c r="B46" s="71" t="n">
        <v>6</v>
      </c>
      <c r="C46" s="72">
        <f>Dashboard!$C$5+A46-1</f>
        <v/>
      </c>
      <c r="D46" s="73" t="inlineStr">
        <is>
          <t>Stacks &amp; Queues</t>
        </is>
      </c>
      <c r="E46" s="71" t="inlineStr">
        <is>
          <t>Main</t>
        </is>
      </c>
      <c r="F46" s="74" t="inlineStr">
        <is>
          <t>Next Greater Element I</t>
        </is>
      </c>
      <c r="G46" s="71" t="inlineStr">
        <is>
          <t>LeetCode</t>
        </is>
      </c>
      <c r="H46" s="71" t="n">
        <v>496</v>
      </c>
      <c r="I46" s="75" t="inlineStr">
        <is>
          <t>Open</t>
        </is>
      </c>
      <c r="J46" s="71" t="inlineStr">
        <is>
          <t>Easy</t>
        </is>
      </c>
      <c r="K46" s="73" t="inlineStr">
        <is>
          <t>Sheet P6 #3</t>
        </is>
      </c>
      <c r="L46" s="73" t="inlineStr">
        <is>
          <t>Monotonic Decreasing Stack</t>
        </is>
      </c>
      <c r="M46" s="38" t="inlineStr">
        <is>
          <t>For each element of nums1 (subset of nums2), find the next greater element to its right in nums2, or -1.</t>
        </is>
      </c>
      <c r="N46" s="38" t="inlineStr">
        <is>
          <t>For each element, scan to the right -&gt; O(n*m).</t>
        </is>
      </c>
      <c r="O46" s="38" t="inlineStr">
        <is>
          <t>Traverse nums2 with a decreasing stack; while current &gt; top, map[top] = current, pop. Push current. Answer queries from the map.</t>
        </is>
      </c>
      <c r="P46" s="38" t="inlineStr">
        <is>
          <t>O(n + m)</t>
        </is>
      </c>
      <c r="Q46" s="38" t="inlineStr">
        <is>
          <t>O(n)</t>
        </is>
      </c>
      <c r="R46" s="38" t="inlineStr">
        <is>
          <t>Monotonic stack template - each element pushed &amp; popped once.</t>
        </is>
      </c>
      <c r="S46" s="38" t="inlineStr">
        <is>
          <t>Next Greater Element II - circular array (LC 503).</t>
        </is>
      </c>
      <c r="T46" s="39" t="inlineStr">
        <is>
          <t>Not Started</t>
        </is>
      </c>
      <c r="U46" s="40" t="n"/>
      <c r="V46" s="39" t="n"/>
      <c r="W46" s="39" t="n"/>
      <c r="X46" s="41">
        <f>IF(U46&lt;&gt;"",U46+7,C46+7)</f>
        <v/>
      </c>
      <c r="Y46" s="42" t="n"/>
    </row>
    <row r="47" ht="105" customHeight="1">
      <c r="A47" s="70" t="n">
        <v>41</v>
      </c>
      <c r="B47" s="71" t="n">
        <v>6</v>
      </c>
      <c r="C47" s="72">
        <f>Dashboard!$C$5+A47-1</f>
        <v/>
      </c>
      <c r="D47" s="73" t="inlineStr">
        <is>
          <t>Stacks &amp; Queues</t>
        </is>
      </c>
      <c r="E47" s="71" t="inlineStr">
        <is>
          <t>Main</t>
        </is>
      </c>
      <c r="F47" s="74" t="inlineStr">
        <is>
          <t>Daily Temperatures</t>
        </is>
      </c>
      <c r="G47" s="71" t="inlineStr">
        <is>
          <t>LeetCode</t>
        </is>
      </c>
      <c r="H47" s="71" t="n">
        <v>739</v>
      </c>
      <c r="I47" s="75" t="inlineStr">
        <is>
          <t>Open</t>
        </is>
      </c>
      <c r="J47" s="71" t="inlineStr">
        <is>
          <t>Medium</t>
        </is>
      </c>
      <c r="K47" s="73" t="inlineStr">
        <is>
          <t>Sheet P6 #4</t>
        </is>
      </c>
      <c r="L47" s="73" t="inlineStr">
        <is>
          <t>Monotonic Stack (indices)</t>
        </is>
      </c>
      <c r="M47" s="38" t="inlineStr">
        <is>
          <t>For each day, return how many days until a warmer temperature (0 if none).</t>
        </is>
      </c>
      <c r="N47" s="38" t="inlineStr">
        <is>
          <t>Scan forward for each day -&gt; O(n^2).</t>
        </is>
      </c>
      <c r="O47" s="38" t="inlineStr">
        <is>
          <t>Stack of indices with decreasing temps. While temps[i] &gt; temps[top]: ans[top] = i - top, pop. Push i.</t>
        </is>
      </c>
      <c r="P47" s="38" t="inlineStr">
        <is>
          <t>O(n)</t>
        </is>
      </c>
      <c r="Q47" s="38" t="inlineStr">
        <is>
          <t>O(n)</t>
        </is>
      </c>
      <c r="R47" s="38" t="inlineStr">
        <is>
          <t>Store INDICES, not values, when you need distances.</t>
        </is>
      </c>
      <c r="S47" s="38" t="inlineStr">
        <is>
          <t>Online Stock Span (LC 901).</t>
        </is>
      </c>
      <c r="T47" s="39" t="inlineStr">
        <is>
          <t>Not Started</t>
        </is>
      </c>
      <c r="U47" s="40" t="n"/>
      <c r="V47" s="39" t="n"/>
      <c r="W47" s="39" t="n"/>
      <c r="X47" s="41">
        <f>IF(U47&lt;&gt;"",U47+7,C47+7)</f>
        <v/>
      </c>
      <c r="Y47" s="42" t="n"/>
    </row>
    <row r="48" ht="105" customHeight="1">
      <c r="A48" s="70" t="n">
        <v>42</v>
      </c>
      <c r="B48" s="71" t="n">
        <v>6</v>
      </c>
      <c r="C48" s="72">
        <f>Dashboard!$C$5+A48-1</f>
        <v/>
      </c>
      <c r="D48" s="73" t="inlineStr">
        <is>
          <t>Stacks &amp; Queues</t>
        </is>
      </c>
      <c r="E48" s="71" t="inlineStr">
        <is>
          <t>Main</t>
        </is>
      </c>
      <c r="F48" s="74" t="inlineStr">
        <is>
          <t>Largest Rectangle in Histogram</t>
        </is>
      </c>
      <c r="G48" s="71" t="inlineStr">
        <is>
          <t>LeetCode</t>
        </is>
      </c>
      <c r="H48" s="71" t="n">
        <v>84</v>
      </c>
      <c r="I48" s="75" t="inlineStr">
        <is>
          <t>Open</t>
        </is>
      </c>
      <c r="J48" s="71" t="inlineStr">
        <is>
          <t>Hard</t>
        </is>
      </c>
      <c r="K48" s="73" t="inlineStr">
        <is>
          <t>Sheet P6 #8</t>
        </is>
      </c>
      <c r="L48" s="73" t="inlineStr">
        <is>
          <t>Monotonic Increasing Stack</t>
        </is>
      </c>
      <c r="M48" s="38" t="inlineStr">
        <is>
          <t>Given bar heights (width 1), return the area of the largest rectangle in the histogram.</t>
        </is>
      </c>
      <c r="N48" s="38" t="inlineStr">
        <is>
          <t>For each bar, expand left and right -&gt; O(n^2).</t>
        </is>
      </c>
      <c r="O48" s="38" t="inlineStr">
        <is>
          <t>Increasing stack of indices. When h[i] &lt; h[top], pop: height = h[pop], width = i - newTop - 1 (or i if stack empty). Append a sentinel 0 at the end.</t>
        </is>
      </c>
      <c r="P48" s="38" t="inlineStr">
        <is>
          <t>O(n)</t>
        </is>
      </c>
      <c r="Q48" s="38" t="inlineStr">
        <is>
          <t>O(n)</t>
        </is>
      </c>
      <c r="R48" s="38" t="inlineStr">
        <is>
          <t>Sentinel 0 flushes the stack. Width calculation is the tricky part - dry run it.</t>
        </is>
      </c>
      <c r="S48" s="38" t="inlineStr">
        <is>
          <t>Maximal Rectangle in a binary matrix (LC 85).</t>
        </is>
      </c>
      <c r="T48" s="39" t="inlineStr">
        <is>
          <t>Not Started</t>
        </is>
      </c>
      <c r="U48" s="40" t="n"/>
      <c r="V48" s="39" t="n"/>
      <c r="W48" s="39" t="n"/>
      <c r="X48" s="41">
        <f>IF(U48&lt;&gt;"",U48+7,C48+7)</f>
        <v/>
      </c>
      <c r="Y48" s="42" t="n"/>
    </row>
    <row r="49" ht="105" customHeight="1">
      <c r="A49" s="70" t="n">
        <v>43</v>
      </c>
      <c r="B49" s="71" t="n">
        <v>7</v>
      </c>
      <c r="C49" s="72">
        <f>Dashboard!$C$5+A49-1</f>
        <v/>
      </c>
      <c r="D49" s="73" t="inlineStr">
        <is>
          <t>Stacks &amp; Queues</t>
        </is>
      </c>
      <c r="E49" s="71" t="inlineStr">
        <is>
          <t>Main</t>
        </is>
      </c>
      <c r="F49" s="74" t="inlineStr">
        <is>
          <t>Sliding Window Maximum</t>
        </is>
      </c>
      <c r="G49" s="71" t="inlineStr">
        <is>
          <t>LeetCode</t>
        </is>
      </c>
      <c r="H49" s="71" t="n">
        <v>239</v>
      </c>
      <c r="I49" s="75" t="inlineStr">
        <is>
          <t>Open</t>
        </is>
      </c>
      <c r="J49" s="71" t="inlineStr">
        <is>
          <t>Hard</t>
        </is>
      </c>
      <c r="K49" s="73" t="inlineStr">
        <is>
          <t>Added (listed in sheet's patterns)</t>
        </is>
      </c>
      <c r="L49" s="73" t="inlineStr">
        <is>
          <t>Monotonic Deque</t>
        </is>
      </c>
      <c r="M49" s="38" t="inlineStr">
        <is>
          <t>Return the max of every window of size k.</t>
        </is>
      </c>
      <c r="N49" s="38" t="inlineStr">
        <is>
          <t>Compute max for each window -&gt; O(n*k).</t>
        </is>
      </c>
      <c r="O49" s="38" t="inlineStr">
        <is>
          <t>Deque of indices with decreasing values. Pop back while smaller than current; pop front if out of window; front is the max.</t>
        </is>
      </c>
      <c r="P49" s="38" t="inlineStr">
        <is>
          <t>O(n)</t>
        </is>
      </c>
      <c r="Q49" s="38" t="inlineStr">
        <is>
          <t>O(k)</t>
        </is>
      </c>
      <c r="R49" s="38" t="inlineStr">
        <is>
          <t>Store indices so you can expire elements that left the window.</t>
        </is>
      </c>
      <c r="S49" s="38" t="inlineStr">
        <is>
          <t>Heap solution O(n log n) as comparison.</t>
        </is>
      </c>
      <c r="T49" s="39" t="inlineStr">
        <is>
          <t>Not Started</t>
        </is>
      </c>
      <c r="U49" s="40" t="n"/>
      <c r="V49" s="39" t="n"/>
      <c r="W49" s="39" t="n"/>
      <c r="X49" s="41">
        <f>IF(U49&lt;&gt;"",U49+7,C49+7)</f>
        <v/>
      </c>
      <c r="Y49" s="42" t="n"/>
    </row>
    <row r="50" ht="105" customHeight="1">
      <c r="A50" s="77" t="n">
        <v>44</v>
      </c>
      <c r="B50" s="78" t="n">
        <v>7</v>
      </c>
      <c r="C50" s="79">
        <f>Dashboard!$C$5+A50-1</f>
        <v/>
      </c>
      <c r="D50" s="80" t="inlineStr">
        <is>
          <t>Binary Search</t>
        </is>
      </c>
      <c r="E50" s="78" t="inlineStr">
        <is>
          <t>Main</t>
        </is>
      </c>
      <c r="F50" s="81" t="inlineStr">
        <is>
          <t>Binary Search</t>
        </is>
      </c>
      <c r="G50" s="78" t="inlineStr">
        <is>
          <t>LeetCode</t>
        </is>
      </c>
      <c r="H50" s="78" t="n">
        <v>704</v>
      </c>
      <c r="I50" s="82" t="inlineStr">
        <is>
          <t>Open</t>
        </is>
      </c>
      <c r="J50" s="78" t="inlineStr">
        <is>
          <t>Easy</t>
        </is>
      </c>
      <c r="K50" s="80" t="inlineStr">
        <is>
          <t>Sheet P7 #1</t>
        </is>
      </c>
      <c r="L50" s="80" t="inlineStr">
        <is>
          <t>Classic Binary Search</t>
        </is>
      </c>
      <c r="M50" s="38" t="inlineStr">
        <is>
          <t>Return the index of target in a sorted array, or -1.</t>
        </is>
      </c>
      <c r="N50" s="38" t="inlineStr">
        <is>
          <t>Linear scan -&gt; O(n).</t>
        </is>
      </c>
      <c r="O50" s="38" t="inlineStr">
        <is>
          <t>lo=0, hi=n-1; while lo&lt;=hi: mid=lo+(hi-lo)/2; compare and move lo=mid+1 or hi=mid-1.</t>
        </is>
      </c>
      <c r="P50" s="38" t="inlineStr">
        <is>
          <t>O(log n)</t>
        </is>
      </c>
      <c r="Q50" s="38" t="inlineStr">
        <is>
          <t>O(1)</t>
        </is>
      </c>
      <c r="R50" s="38" t="inlineStr">
        <is>
          <t>mid = lo + (hi-lo)/2 avoids overflow. Know the lo&lt;=hi vs lo&lt;hi templates.</t>
        </is>
      </c>
      <c r="S50" s="38" t="inlineStr">
        <is>
          <t>Search Insert Position (LC 35).</t>
        </is>
      </c>
      <c r="T50" s="39" t="inlineStr">
        <is>
          <t>Not Started</t>
        </is>
      </c>
      <c r="U50" s="40" t="n"/>
      <c r="V50" s="39" t="n"/>
      <c r="W50" s="39" t="n"/>
      <c r="X50" s="41">
        <f>IF(U50&lt;&gt;"",U50+7,C50+7)</f>
        <v/>
      </c>
      <c r="Y50" s="42" t="n"/>
    </row>
    <row r="51" ht="105" customHeight="1">
      <c r="A51" s="77" t="n">
        <v>45</v>
      </c>
      <c r="B51" s="78" t="n">
        <v>7</v>
      </c>
      <c r="C51" s="79">
        <f>Dashboard!$C$5+A51-1</f>
        <v/>
      </c>
      <c r="D51" s="80" t="inlineStr">
        <is>
          <t>Binary Search</t>
        </is>
      </c>
      <c r="E51" s="78" t="inlineStr">
        <is>
          <t>Main</t>
        </is>
      </c>
      <c r="F51" s="81" t="inlineStr">
        <is>
          <t>Find First and Last Position of Element</t>
        </is>
      </c>
      <c r="G51" s="78" t="inlineStr">
        <is>
          <t>LeetCode</t>
        </is>
      </c>
      <c r="H51" s="78" t="n">
        <v>34</v>
      </c>
      <c r="I51" s="82" t="inlineStr">
        <is>
          <t>Open</t>
        </is>
      </c>
      <c r="J51" s="78" t="inlineStr">
        <is>
          <t>Medium</t>
        </is>
      </c>
      <c r="K51" s="80" t="inlineStr">
        <is>
          <t>Sheet P7 #2</t>
        </is>
      </c>
      <c r="L51" s="80" t="inlineStr">
        <is>
          <t>Lower / Upper Bound</t>
        </is>
      </c>
      <c r="M51" s="38" t="inlineStr">
        <is>
          <t>Return the [first, last] index of target in a sorted array, or [-1,-1], in O(log n).</t>
        </is>
      </c>
      <c r="N51" s="38" t="inlineStr">
        <is>
          <t>Find one occurrence and expand linearly -&gt; O(n) worst case.</t>
        </is>
      </c>
      <c r="O51" s="38" t="inlineStr">
        <is>
          <t>Two binary searches: on match, record index and keep searching left (for first) or right (for last).</t>
        </is>
      </c>
      <c r="P51" s="38" t="inlineStr">
        <is>
          <t>O(log n)</t>
        </is>
      </c>
      <c r="Q51" s="38" t="inlineStr">
        <is>
          <t>O(1)</t>
        </is>
      </c>
      <c r="R51" s="38" t="inlineStr">
        <is>
          <t>Don't stop at the first match. Count of target = last - first + 1.</t>
        </is>
      </c>
      <c r="S51" s="38" t="inlineStr">
        <is>
          <t>Count occurrences in a sorted array.</t>
        </is>
      </c>
      <c r="T51" s="39" t="inlineStr">
        <is>
          <t>Not Started</t>
        </is>
      </c>
      <c r="U51" s="40" t="n"/>
      <c r="V51" s="39" t="n"/>
      <c r="W51" s="39" t="n"/>
      <c r="X51" s="41">
        <f>IF(U51&lt;&gt;"",U51+7,C51+7)</f>
        <v/>
      </c>
      <c r="Y51" s="42" t="n"/>
    </row>
    <row r="52" ht="105" customHeight="1">
      <c r="A52" s="77" t="n">
        <v>46</v>
      </c>
      <c r="B52" s="78" t="n">
        <v>7</v>
      </c>
      <c r="C52" s="79">
        <f>Dashboard!$C$5+A52-1</f>
        <v/>
      </c>
      <c r="D52" s="80" t="inlineStr">
        <is>
          <t>Binary Search</t>
        </is>
      </c>
      <c r="E52" s="78" t="inlineStr">
        <is>
          <t>Main</t>
        </is>
      </c>
      <c r="F52" s="81" t="inlineStr">
        <is>
          <t>Sqrt(x)</t>
        </is>
      </c>
      <c r="G52" s="78" t="inlineStr">
        <is>
          <t>LeetCode</t>
        </is>
      </c>
      <c r="H52" s="78" t="n">
        <v>69</v>
      </c>
      <c r="I52" s="82" t="inlineStr">
        <is>
          <t>Open</t>
        </is>
      </c>
      <c r="J52" s="78" t="inlineStr">
        <is>
          <t>Easy</t>
        </is>
      </c>
      <c r="K52" s="80" t="inlineStr">
        <is>
          <t>Sheet P7 #5</t>
        </is>
      </c>
      <c r="L52" s="80" t="inlineStr">
        <is>
          <t>Binary Search on Answer</t>
        </is>
      </c>
      <c r="M52" s="38" t="inlineStr">
        <is>
          <t>Return floor(sqrt(x)) without using built-in power functions.</t>
        </is>
      </c>
      <c r="N52" s="38" t="inlineStr">
        <is>
          <t>Try i = 1, 2, 3 ... while i*i &lt;= x -&gt; O(sqrt x).</t>
        </is>
      </c>
      <c r="O52" s="38" t="inlineStr">
        <is>
          <t>Search in [0, x]: if mid*mid &lt;= x, ans=mid, lo=mid+1; else hi=mid-1.</t>
        </is>
      </c>
      <c r="P52" s="38" t="inlineStr">
        <is>
          <t>O(log x)</t>
        </is>
      </c>
      <c r="Q52" s="38" t="inlineStr">
        <is>
          <t>O(1)</t>
        </is>
      </c>
      <c r="R52" s="38" t="inlineStr">
        <is>
          <t>mid*mid overflows int - use long, or compare mid &lt;= x/mid.</t>
        </is>
      </c>
      <c r="S52" s="38" t="inlineStr">
        <is>
          <t>Valid Perfect Square (LC 367).</t>
        </is>
      </c>
      <c r="T52" s="39" t="inlineStr">
        <is>
          <t>Not Started</t>
        </is>
      </c>
      <c r="U52" s="40" t="n"/>
      <c r="V52" s="39" t="n"/>
      <c r="W52" s="39" t="n"/>
      <c r="X52" s="41">
        <f>IF(U52&lt;&gt;"",U52+7,C52+7)</f>
        <v/>
      </c>
      <c r="Y52" s="42" t="n"/>
    </row>
    <row r="53" ht="105" customHeight="1">
      <c r="A53" s="77" t="n">
        <v>47</v>
      </c>
      <c r="B53" s="78" t="n">
        <v>7</v>
      </c>
      <c r="C53" s="79">
        <f>Dashboard!$C$5+A53-1</f>
        <v/>
      </c>
      <c r="D53" s="80" t="inlineStr">
        <is>
          <t>Binary Search</t>
        </is>
      </c>
      <c r="E53" s="78" t="inlineStr">
        <is>
          <t>Main</t>
        </is>
      </c>
      <c r="F53" s="81" t="inlineStr">
        <is>
          <t>Search in Rotated Sorted Array</t>
        </is>
      </c>
      <c r="G53" s="78" t="inlineStr">
        <is>
          <t>LeetCode</t>
        </is>
      </c>
      <c r="H53" s="78" t="n">
        <v>33</v>
      </c>
      <c r="I53" s="82" t="inlineStr">
        <is>
          <t>Open</t>
        </is>
      </c>
      <c r="J53" s="78" t="inlineStr">
        <is>
          <t>Medium</t>
        </is>
      </c>
      <c r="K53" s="80" t="inlineStr">
        <is>
          <t>Sheet P7 #3</t>
        </is>
      </c>
      <c r="L53" s="80" t="inlineStr">
        <is>
          <t>Binary Search (sorted half)</t>
        </is>
      </c>
      <c r="M53" s="38" t="inlineStr">
        <is>
          <t>A sorted array of distinct values was rotated. Find target's index, or -1, in O(log n).</t>
        </is>
      </c>
      <c r="N53" s="38" t="inlineStr">
        <is>
          <t>Linear scan -&gt; O(n).</t>
        </is>
      </c>
      <c r="O53" s="38" t="inlineStr">
        <is>
          <t>At each mid, one half is sorted. If nums[lo] &lt;= nums[mid], left half sorted: check if target lies in it; else right half sorted. Discard the other half.</t>
        </is>
      </c>
      <c r="P53" s="38" t="inlineStr">
        <is>
          <t>O(log n)</t>
        </is>
      </c>
      <c r="Q53" s="38" t="inlineStr">
        <is>
          <t>O(1)</t>
        </is>
      </c>
      <c r="R53" s="38" t="inlineStr">
        <is>
          <t>Use &lt;= in nums[lo] &lt;= nums[mid] (lo == mid case).</t>
        </is>
      </c>
      <c r="S53" s="38" t="inlineStr">
        <is>
          <t>With duplicates (LC 81) - worst case O(n).</t>
        </is>
      </c>
      <c r="T53" s="39" t="inlineStr">
        <is>
          <t>Not Started</t>
        </is>
      </c>
      <c r="U53" s="40" t="n"/>
      <c r="V53" s="39" t="n"/>
      <c r="W53" s="39" t="n"/>
      <c r="X53" s="41">
        <f>IF(U53&lt;&gt;"",U53+7,C53+7)</f>
        <v/>
      </c>
      <c r="Y53" s="42" t="n"/>
    </row>
    <row r="54" ht="105" customHeight="1">
      <c r="A54" s="77" t="n">
        <v>47</v>
      </c>
      <c r="B54" s="78" t="n">
        <v>7</v>
      </c>
      <c r="C54" s="79">
        <f>Dashboard!$C$5+A54-1</f>
        <v/>
      </c>
      <c r="D54" s="80" t="inlineStr">
        <is>
          <t>Binary Search</t>
        </is>
      </c>
      <c r="E54" s="78" t="inlineStr">
        <is>
          <t>Bonus</t>
        </is>
      </c>
      <c r="F54" s="83" t="inlineStr">
        <is>
          <t>Find Minimum in Rotated Sorted Array</t>
        </is>
      </c>
      <c r="G54" s="78" t="inlineStr">
        <is>
          <t>LeetCode</t>
        </is>
      </c>
      <c r="H54" s="78" t="n">
        <v>153</v>
      </c>
      <c r="I54" s="82" t="inlineStr">
        <is>
          <t>Open</t>
        </is>
      </c>
      <c r="J54" s="78" t="inlineStr">
        <is>
          <t>Medium</t>
        </is>
      </c>
      <c r="K54" s="80" t="inlineStr">
        <is>
          <t>Added</t>
        </is>
      </c>
      <c r="L54" s="80" t="inlineStr">
        <is>
          <t>Binary Search</t>
        </is>
      </c>
      <c r="M54" s="38" t="inlineStr">
        <is>
          <t>Return the minimum element of a rotated sorted array (distinct values).</t>
        </is>
      </c>
      <c r="N54" s="38" t="inlineStr">
        <is>
          <t>Linear scan -&gt; O(n).</t>
        </is>
      </c>
      <c r="O54" s="38" t="inlineStr">
        <is>
          <t>while lo&lt;hi: if nums[mid] &gt; nums[hi], min is right -&gt; lo=mid+1; else hi=mid.</t>
        </is>
      </c>
      <c r="P54" s="38" t="inlineStr">
        <is>
          <t>O(log n)</t>
        </is>
      </c>
      <c r="Q54" s="38" t="inlineStr">
        <is>
          <t>O(1)</t>
        </is>
      </c>
      <c r="R54" s="38" t="inlineStr">
        <is>
          <t>Compare with nums[hi], not nums[lo]. Loop is lo &lt; hi.</t>
        </is>
      </c>
      <c r="S54" s="38" t="inlineStr">
        <is>
          <t>Rotation count = index of min.</t>
        </is>
      </c>
      <c r="T54" s="39" t="inlineStr">
        <is>
          <t>Not Started</t>
        </is>
      </c>
      <c r="U54" s="40" t="n"/>
      <c r="V54" s="39" t="n"/>
      <c r="W54" s="39" t="n"/>
      <c r="X54" s="41">
        <f>IF(U54&lt;&gt;"",U54+7,C54+7)</f>
        <v/>
      </c>
      <c r="Y54" s="42" t="n"/>
    </row>
    <row r="55" ht="105" customHeight="1">
      <c r="A55" s="77" t="n">
        <v>48</v>
      </c>
      <c r="B55" s="78" t="n">
        <v>7</v>
      </c>
      <c r="C55" s="79">
        <f>Dashboard!$C$5+A55-1</f>
        <v/>
      </c>
      <c r="D55" s="80" t="inlineStr">
        <is>
          <t>Binary Search</t>
        </is>
      </c>
      <c r="E55" s="78" t="inlineStr">
        <is>
          <t>Main</t>
        </is>
      </c>
      <c r="F55" s="81" t="inlineStr">
        <is>
          <t>Find Peak Element</t>
        </is>
      </c>
      <c r="G55" s="78" t="inlineStr">
        <is>
          <t>LeetCode</t>
        </is>
      </c>
      <c r="H55" s="78" t="n">
        <v>162</v>
      </c>
      <c r="I55" s="82" t="inlineStr">
        <is>
          <t>Open</t>
        </is>
      </c>
      <c r="J55" s="78" t="inlineStr">
        <is>
          <t>Medium</t>
        </is>
      </c>
      <c r="K55" s="80" t="inlineStr">
        <is>
          <t>Sheet P7 #4</t>
        </is>
      </c>
      <c r="L55" s="80" t="inlineStr">
        <is>
          <t>Binary Search (slope)</t>
        </is>
      </c>
      <c r="M55" s="38" t="inlineStr">
        <is>
          <t>Return the index of any element strictly greater than its neighbours (nums[-1] = nums[n] = -inf).</t>
        </is>
      </c>
      <c r="N55" s="38" t="inlineStr">
        <is>
          <t>Linear scan -&gt; O(n).</t>
        </is>
      </c>
      <c r="O55" s="38" t="inlineStr">
        <is>
          <t>If nums[mid] &lt; nums[mid+1], a peak exists on the right: lo=mid+1; else hi=mid. Loop while lo&lt;hi.</t>
        </is>
      </c>
      <c r="P55" s="38" t="inlineStr">
        <is>
          <t>O(log n)</t>
        </is>
      </c>
      <c r="Q55" s="38" t="inlineStr">
        <is>
          <t>O(1)</t>
        </is>
      </c>
      <c r="R55" s="38" t="inlineStr">
        <is>
          <t>Binary search works on an unsorted array because of the 'move uphill' property.</t>
        </is>
      </c>
      <c r="S55" s="38" t="inlineStr">
        <is>
          <t>Peak in a 2D grid (LC 1901). Mountain array (LC 852).</t>
        </is>
      </c>
      <c r="T55" s="39" t="inlineStr">
        <is>
          <t>Not Started</t>
        </is>
      </c>
      <c r="U55" s="40" t="n"/>
      <c r="V55" s="39" t="n"/>
      <c r="W55" s="39" t="n"/>
      <c r="X55" s="41">
        <f>IF(U55&lt;&gt;"",U55+7,C55+7)</f>
        <v/>
      </c>
      <c r="Y55" s="42" t="n"/>
    </row>
    <row r="56" ht="105" customHeight="1">
      <c r="A56" s="77" t="n">
        <v>49</v>
      </c>
      <c r="B56" s="78" t="n">
        <v>7</v>
      </c>
      <c r="C56" s="79">
        <f>Dashboard!$C$5+A56-1</f>
        <v/>
      </c>
      <c r="D56" s="80" t="inlineStr">
        <is>
          <t>Binary Search</t>
        </is>
      </c>
      <c r="E56" s="78" t="inlineStr">
        <is>
          <t>Main</t>
        </is>
      </c>
      <c r="F56" s="81" t="inlineStr">
        <is>
          <t>Search a 2D Matrix II</t>
        </is>
      </c>
      <c r="G56" s="78" t="inlineStr">
        <is>
          <t>LeetCode</t>
        </is>
      </c>
      <c r="H56" s="78" t="n">
        <v>240</v>
      </c>
      <c r="I56" s="82" t="inlineStr">
        <is>
          <t>Open</t>
        </is>
      </c>
      <c r="J56" s="78" t="inlineStr">
        <is>
          <t>Medium</t>
        </is>
      </c>
      <c r="K56" s="80" t="inlineStr">
        <is>
          <t>Sheet P7B #6</t>
        </is>
      </c>
      <c r="L56" s="80" t="inlineStr">
        <is>
          <t>Staircase Search</t>
        </is>
      </c>
      <c r="M56" s="38" t="inlineStr">
        <is>
          <t>Rows and columns are each sorted ascending. Return true if target exists.</t>
        </is>
      </c>
      <c r="N56" s="38" t="inlineStr">
        <is>
          <t>Scan all cells -&gt; O(m*n).</t>
        </is>
      </c>
      <c r="O56" s="38" t="inlineStr">
        <is>
          <t>Start top-right. If value &gt; target move left; if &lt; target move down; equal -&gt; found.</t>
        </is>
      </c>
      <c r="P56" s="38" t="inlineStr">
        <is>
          <t>O(m + n)</t>
        </is>
      </c>
      <c r="Q56" s="38" t="inlineStr">
        <is>
          <t>O(1)</t>
        </is>
      </c>
      <c r="R56" s="38" t="inlineStr">
        <is>
          <t>The sheet shows O(m + log n) - the staircase method is O(m + n). LC 74 (fully sorted matrix) is a single binary search O(log(mn)).</t>
        </is>
      </c>
      <c r="S56" s="38" t="inlineStr">
        <is>
          <t>Kth Smallest in Sorted Matrix (LC 378).</t>
        </is>
      </c>
      <c r="T56" s="39" t="inlineStr">
        <is>
          <t>Not Started</t>
        </is>
      </c>
      <c r="U56" s="40" t="n"/>
      <c r="V56" s="39" t="n"/>
      <c r="W56" s="39" t="n"/>
      <c r="X56" s="41">
        <f>IF(U56&lt;&gt;"",U56+7,C56+7)</f>
        <v/>
      </c>
      <c r="Y56" s="42" t="n"/>
    </row>
    <row r="57" ht="105" customHeight="1">
      <c r="A57" s="77" t="n">
        <v>50</v>
      </c>
      <c r="B57" s="78" t="n">
        <v>8</v>
      </c>
      <c r="C57" s="79">
        <f>Dashboard!$C$5+A57-1</f>
        <v/>
      </c>
      <c r="D57" s="80" t="inlineStr">
        <is>
          <t>Binary Search</t>
        </is>
      </c>
      <c r="E57" s="78" t="inlineStr">
        <is>
          <t>Main</t>
        </is>
      </c>
      <c r="F57" s="81" t="inlineStr">
        <is>
          <t>Koko Eating Bananas</t>
        </is>
      </c>
      <c r="G57" s="78" t="inlineStr">
        <is>
          <t>LeetCode</t>
        </is>
      </c>
      <c r="H57" s="78" t="n">
        <v>875</v>
      </c>
      <c r="I57" s="82" t="inlineStr">
        <is>
          <t>Open</t>
        </is>
      </c>
      <c r="J57" s="78" t="inlineStr">
        <is>
          <t>Medium</t>
        </is>
      </c>
      <c r="K57" s="80" t="inlineStr">
        <is>
          <t>Sheet P7 #6 / P7B #7</t>
        </is>
      </c>
      <c r="L57" s="80" t="inlineStr">
        <is>
          <t>Binary Search on Answer Space</t>
        </is>
      </c>
      <c r="M57" s="38" t="inlineStr">
        <is>
          <t>Find the minimum integer eating speed k such that Koko can eat all piles within h hours.</t>
        </is>
      </c>
      <c r="N57" s="38" t="inlineStr">
        <is>
          <t>Try every speed from 1 to max(piles) -&gt; O(n * max).</t>
        </is>
      </c>
      <c r="O57" s="38" t="inlineStr">
        <is>
          <t>Search k in [1, max(piles)]. hours(k) = sum(ceil(p/k)). If hours &lt;= h, hi=k (try smaller) else lo=k+1.</t>
        </is>
      </c>
      <c r="P57" s="38" t="inlineStr">
        <is>
          <t>O(n log max)</t>
        </is>
      </c>
      <c r="Q57" s="38" t="inlineStr">
        <is>
          <t>O(1)</t>
        </is>
      </c>
      <c r="R57" s="38" t="inlineStr">
        <is>
          <t>ceil(p/k) = (p + k - 1) / k. Sum of hours can overflow int - use long. Recognise 'minimise the max / find min feasible' -&gt; answer space.</t>
        </is>
      </c>
      <c r="S57" s="38" t="inlineStr">
        <is>
          <t>Capacity to Ship Packages (bonus LC 1011). Split Array Largest Sum (LC 410).</t>
        </is>
      </c>
      <c r="T57" s="39" t="inlineStr">
        <is>
          <t>Not Started</t>
        </is>
      </c>
      <c r="U57" s="40" t="n"/>
      <c r="V57" s="39" t="n"/>
      <c r="W57" s="39" t="n"/>
      <c r="X57" s="41">
        <f>IF(U57&lt;&gt;"",U57+7,C57+7)</f>
        <v/>
      </c>
      <c r="Y57" s="42" t="n"/>
    </row>
    <row r="58" ht="105" customHeight="1">
      <c r="A58" s="77" t="n">
        <v>50</v>
      </c>
      <c r="B58" s="78" t="n">
        <v>8</v>
      </c>
      <c r="C58" s="79">
        <f>Dashboard!$C$5+A58-1</f>
        <v/>
      </c>
      <c r="D58" s="80" t="inlineStr">
        <is>
          <t>Binary Search</t>
        </is>
      </c>
      <c r="E58" s="78" t="inlineStr">
        <is>
          <t>Bonus</t>
        </is>
      </c>
      <c r="F58" s="83" t="inlineStr">
        <is>
          <t>Capacity To Ship Packages Within D Days</t>
        </is>
      </c>
      <c r="G58" s="78" t="inlineStr">
        <is>
          <t>LeetCode</t>
        </is>
      </c>
      <c r="H58" s="78" t="n">
        <v>1011</v>
      </c>
      <c r="I58" s="82" t="inlineStr">
        <is>
          <t>Open</t>
        </is>
      </c>
      <c r="J58" s="78" t="inlineStr">
        <is>
          <t>Medium</t>
        </is>
      </c>
      <c r="K58" s="80" t="inlineStr">
        <is>
          <t>Added (answer space)</t>
        </is>
      </c>
      <c r="L58" s="80" t="inlineStr">
        <is>
          <t>Binary Search on Answer Space</t>
        </is>
      </c>
      <c r="M58" s="38" t="inlineStr">
        <is>
          <t>Find the least ship capacity to ship all packages in order within D days.</t>
        </is>
      </c>
      <c r="N58" s="38" t="inlineStr">
        <is>
          <t>Try every capacity -&gt; O(n * sum).</t>
        </is>
      </c>
      <c r="O58" s="38" t="inlineStr">
        <is>
          <t>Search capacity in [max(w), sum(w)]; greedily count days needed for a given capacity.</t>
        </is>
      </c>
      <c r="P58" s="38" t="inlineStr">
        <is>
          <t>O(n log sum)</t>
        </is>
      </c>
      <c r="Q58" s="38" t="inlineStr">
        <is>
          <t>O(1)</t>
        </is>
      </c>
      <c r="R58" s="38" t="inlineStr">
        <is>
          <t>Lower bound is max(weights), not 1.</t>
        </is>
      </c>
      <c r="S58" s="38" t="inlineStr"/>
      <c r="T58" s="39" t="inlineStr">
        <is>
          <t>Not Started</t>
        </is>
      </c>
      <c r="U58" s="40" t="n"/>
      <c r="V58" s="39" t="n"/>
      <c r="W58" s="39" t="n"/>
      <c r="X58" s="41">
        <f>IF(U58&lt;&gt;"",U58+7,C58+7)</f>
        <v/>
      </c>
      <c r="Y58" s="42" t="n"/>
    </row>
    <row r="59" ht="105" customHeight="1">
      <c r="A59" s="84" t="n">
        <v>51</v>
      </c>
      <c r="B59" s="85" t="n">
        <v>8</v>
      </c>
      <c r="C59" s="86">
        <f>Dashboard!$C$5+A59-1</f>
        <v/>
      </c>
      <c r="D59" s="87" t="inlineStr">
        <is>
          <t>Trees &amp; BST</t>
        </is>
      </c>
      <c r="E59" s="85" t="inlineStr">
        <is>
          <t>Main</t>
        </is>
      </c>
      <c r="F59" s="88" t="inlineStr">
        <is>
          <t>Binary Tree Inorder / Preorder / Postorder Traversal</t>
        </is>
      </c>
      <c r="G59" s="85" t="inlineStr">
        <is>
          <t>LeetCode</t>
        </is>
      </c>
      <c r="H59" s="85" t="n">
        <v>94</v>
      </c>
      <c r="I59" s="89" t="inlineStr">
        <is>
          <t>Open</t>
        </is>
      </c>
      <c r="J59" s="85" t="inlineStr">
        <is>
          <t>Easy</t>
        </is>
      </c>
      <c r="K59" s="87" t="inlineStr">
        <is>
          <t>Sheet P8 #1 (LC 94, 144, 145)</t>
        </is>
      </c>
      <c r="L59" s="87" t="inlineStr">
        <is>
          <t>DFS / Recursion / Stack</t>
        </is>
      </c>
      <c r="M59" s="38" t="inlineStr">
        <is>
          <t>Return the inorder (L-Root-R), preorder (Root-L-R) and postorder (L-R-Root) traversals of a binary tree. Also solve LC 144 and LC 145.</t>
        </is>
      </c>
      <c r="N59" s="38" t="inlineStr">
        <is>
          <t>-</t>
        </is>
      </c>
      <c r="O59" s="38" t="inlineStr">
        <is>
          <t>Recursive DFS first; then iterative with an explicit stack. Inorder iterative: push all lefts, pop, visit, go right.</t>
        </is>
      </c>
      <c r="P59" s="38" t="inlineStr">
        <is>
          <t>O(n)</t>
        </is>
      </c>
      <c r="Q59" s="38" t="inlineStr">
        <is>
          <t>O(h)</t>
        </is>
      </c>
      <c r="R59" s="38" t="inlineStr">
        <is>
          <t>Sample tree: Pre 1,2,4,5,3,6,7 | In 4,2,5,1,6,3,7 | Post 4,5,2,6,7,3,1. Inorder of a BST is sorted.</t>
        </is>
      </c>
      <c r="S59" s="38" t="inlineStr">
        <is>
          <t>Morris traversal for O(1) space.</t>
        </is>
      </c>
      <c r="T59" s="39" t="inlineStr">
        <is>
          <t>Not Started</t>
        </is>
      </c>
      <c r="U59" s="40" t="n"/>
      <c r="V59" s="39" t="n"/>
      <c r="W59" s="39" t="n"/>
      <c r="X59" s="41">
        <f>IF(U59&lt;&gt;"",U59+7,C59+7)</f>
        <v/>
      </c>
      <c r="Y59" s="42" t="n"/>
    </row>
    <row r="60" ht="105" customHeight="1">
      <c r="A60" s="84" t="n">
        <v>52</v>
      </c>
      <c r="B60" s="85" t="n">
        <v>8</v>
      </c>
      <c r="C60" s="86">
        <f>Dashboard!$C$5+A60-1</f>
        <v/>
      </c>
      <c r="D60" s="87" t="inlineStr">
        <is>
          <t>Trees &amp; BST</t>
        </is>
      </c>
      <c r="E60" s="85" t="inlineStr">
        <is>
          <t>Main</t>
        </is>
      </c>
      <c r="F60" s="88" t="inlineStr">
        <is>
          <t>Maximum Depth of Binary Tree</t>
        </is>
      </c>
      <c r="G60" s="85" t="inlineStr">
        <is>
          <t>LeetCode</t>
        </is>
      </c>
      <c r="H60" s="85" t="n">
        <v>104</v>
      </c>
      <c r="I60" s="89" t="inlineStr">
        <is>
          <t>Open</t>
        </is>
      </c>
      <c r="J60" s="85" t="inlineStr">
        <is>
          <t>Easy</t>
        </is>
      </c>
      <c r="K60" s="87" t="inlineStr">
        <is>
          <t>Sheet P8 #2</t>
        </is>
      </c>
      <c r="L60" s="87" t="inlineStr">
        <is>
          <t>DFS</t>
        </is>
      </c>
      <c r="M60" s="38" t="inlineStr">
        <is>
          <t>Return the number of nodes along the longest root-to-leaf path.</t>
        </is>
      </c>
      <c r="N60" s="38" t="inlineStr">
        <is>
          <t>-</t>
        </is>
      </c>
      <c r="O60" s="38" t="inlineStr">
        <is>
          <t>depth(node) = 0 if null else 1 + max(depth(left), depth(right)). BFS level count also works.</t>
        </is>
      </c>
      <c r="P60" s="38" t="inlineStr">
        <is>
          <t>O(n)</t>
        </is>
      </c>
      <c r="Q60" s="38" t="inlineStr">
        <is>
          <t>O(h)</t>
        </is>
      </c>
      <c r="R60" s="38" t="inlineStr">
        <is>
          <t>Base case null -&gt; 0. Skewed tree makes h = n.</t>
        </is>
      </c>
      <c r="S60" s="38" t="inlineStr">
        <is>
          <t>Minimum depth (LC 111) - careful with one-child nodes.</t>
        </is>
      </c>
      <c r="T60" s="39" t="inlineStr">
        <is>
          <t>Not Started</t>
        </is>
      </c>
      <c r="U60" s="40" t="n"/>
      <c r="V60" s="39" t="n"/>
      <c r="W60" s="39" t="n"/>
      <c r="X60" s="41">
        <f>IF(U60&lt;&gt;"",U60+7,C60+7)</f>
        <v/>
      </c>
      <c r="Y60" s="42" t="n"/>
    </row>
    <row r="61" ht="105" customHeight="1">
      <c r="A61" s="84" t="n">
        <v>53</v>
      </c>
      <c r="B61" s="85" t="n">
        <v>8</v>
      </c>
      <c r="C61" s="86">
        <f>Dashboard!$C$5+A61-1</f>
        <v/>
      </c>
      <c r="D61" s="87" t="inlineStr">
        <is>
          <t>Trees &amp; BST</t>
        </is>
      </c>
      <c r="E61" s="85" t="inlineStr">
        <is>
          <t>Main</t>
        </is>
      </c>
      <c r="F61" s="88" t="inlineStr">
        <is>
          <t>Invert Binary Tree</t>
        </is>
      </c>
      <c r="G61" s="85" t="inlineStr">
        <is>
          <t>LeetCode</t>
        </is>
      </c>
      <c r="H61" s="85" t="n">
        <v>226</v>
      </c>
      <c r="I61" s="89" t="inlineStr">
        <is>
          <t>Open</t>
        </is>
      </c>
      <c r="J61" s="85" t="inlineStr">
        <is>
          <t>Easy</t>
        </is>
      </c>
      <c r="K61" s="87" t="inlineStr">
        <is>
          <t>Added (classic warm-up)</t>
        </is>
      </c>
      <c r="L61" s="87" t="inlineStr">
        <is>
          <t>DFS</t>
        </is>
      </c>
      <c r="M61" s="38" t="inlineStr">
        <is>
          <t>Mirror a binary tree (swap left and right children of every node).</t>
        </is>
      </c>
      <c r="N61" s="38" t="inlineStr">
        <is>
          <t>-</t>
        </is>
      </c>
      <c r="O61" s="38" t="inlineStr">
        <is>
          <t>Recursively swap children: node.left, node.right = invert(node.right), invert(node.left).</t>
        </is>
      </c>
      <c r="P61" s="38" t="inlineStr">
        <is>
          <t>O(n)</t>
        </is>
      </c>
      <c r="Q61" s="38" t="inlineStr">
        <is>
          <t>O(h)</t>
        </is>
      </c>
      <c r="R61" s="38" t="inlineStr">
        <is>
          <t>Can be done with BFS as well.</t>
        </is>
      </c>
      <c r="S61" s="38" t="inlineStr">
        <is>
          <t>Symmetric Tree (LC 101). Same Tree (LC 100).</t>
        </is>
      </c>
      <c r="T61" s="39" t="inlineStr">
        <is>
          <t>Not Started</t>
        </is>
      </c>
      <c r="U61" s="40" t="n"/>
      <c r="V61" s="39" t="n"/>
      <c r="W61" s="39" t="n"/>
      <c r="X61" s="41">
        <f>IF(U61&lt;&gt;"",U61+7,C61+7)</f>
        <v/>
      </c>
      <c r="Y61" s="42" t="n"/>
    </row>
    <row r="62" ht="105" customHeight="1">
      <c r="A62" s="84" t="n">
        <v>54</v>
      </c>
      <c r="B62" s="85" t="n">
        <v>8</v>
      </c>
      <c r="C62" s="86">
        <f>Dashboard!$C$5+A62-1</f>
        <v/>
      </c>
      <c r="D62" s="87" t="inlineStr">
        <is>
          <t>Trees &amp; BST</t>
        </is>
      </c>
      <c r="E62" s="85" t="inlineStr">
        <is>
          <t>Main</t>
        </is>
      </c>
      <c r="F62" s="88" t="inlineStr">
        <is>
          <t>Binary Tree Level Order Traversal</t>
        </is>
      </c>
      <c r="G62" s="85" t="inlineStr">
        <is>
          <t>LeetCode</t>
        </is>
      </c>
      <c r="H62" s="85" t="n">
        <v>102</v>
      </c>
      <c r="I62" s="89" t="inlineStr">
        <is>
          <t>Open</t>
        </is>
      </c>
      <c r="J62" s="85" t="inlineStr">
        <is>
          <t>Medium</t>
        </is>
      </c>
      <c r="K62" s="87" t="inlineStr">
        <is>
          <t>Sheet P8 #3</t>
        </is>
      </c>
      <c r="L62" s="87" t="inlineStr">
        <is>
          <t>BFS / Queue</t>
        </is>
      </c>
      <c r="M62" s="38" t="inlineStr">
        <is>
          <t>Return node values level by level (left to right) as a list of lists.</t>
        </is>
      </c>
      <c r="N62" s="38" t="inlineStr">
        <is>
          <t>-</t>
        </is>
      </c>
      <c r="O62" s="38" t="inlineStr">
        <is>
          <t>Queue. For each level, take size = queue.size(), pop that many nodes, push their children.</t>
        </is>
      </c>
      <c r="P62" s="38" t="inlineStr">
        <is>
          <t>O(n)</t>
        </is>
      </c>
      <c r="Q62" s="38" t="inlineStr">
        <is>
          <t>O(w) (max width)</t>
        </is>
      </c>
      <c r="R62" s="38" t="inlineStr">
        <is>
          <t>Capture the level size before the inner loop.</t>
        </is>
      </c>
      <c r="S62" s="38" t="inlineStr">
        <is>
          <t>Zigzag order (LC 103). Right Side View (LC 199).</t>
        </is>
      </c>
      <c r="T62" s="39" t="inlineStr">
        <is>
          <t>Not Started</t>
        </is>
      </c>
      <c r="U62" s="40" t="n"/>
      <c r="V62" s="39" t="n"/>
      <c r="W62" s="39" t="n"/>
      <c r="X62" s="41">
        <f>IF(U62&lt;&gt;"",U62+7,C62+7)</f>
        <v/>
      </c>
      <c r="Y62" s="42" t="n"/>
    </row>
    <row r="63" ht="105" customHeight="1">
      <c r="A63" s="84" t="n">
        <v>55</v>
      </c>
      <c r="B63" s="85" t="n">
        <v>8</v>
      </c>
      <c r="C63" s="86">
        <f>Dashboard!$C$5+A63-1</f>
        <v/>
      </c>
      <c r="D63" s="87" t="inlineStr">
        <is>
          <t>Trees &amp; BST</t>
        </is>
      </c>
      <c r="E63" s="85" t="inlineStr">
        <is>
          <t>Main</t>
        </is>
      </c>
      <c r="F63" s="88" t="inlineStr">
        <is>
          <t>Diameter of Binary Tree</t>
        </is>
      </c>
      <c r="G63" s="85" t="inlineStr">
        <is>
          <t>LeetCode</t>
        </is>
      </c>
      <c r="H63" s="85" t="n">
        <v>543</v>
      </c>
      <c r="I63" s="89" t="inlineStr">
        <is>
          <t>Open</t>
        </is>
      </c>
      <c r="J63" s="85" t="inlineStr">
        <is>
          <t>Easy</t>
        </is>
      </c>
      <c r="K63" s="87" t="inlineStr">
        <is>
          <t>Sheet P8 #4</t>
        </is>
      </c>
      <c r="L63" s="87" t="inlineStr">
        <is>
          <t>DFS (post-order, return height)</t>
        </is>
      </c>
      <c r="M63" s="38" t="inlineStr">
        <is>
          <t>Return the length (in edges) of the longest path between any two nodes.</t>
        </is>
      </c>
      <c r="N63" s="38" t="inlineStr">
        <is>
          <t>For each node compute heights separately -&gt; O(n^2).</t>
        </is>
      </c>
      <c r="O63" s="38" t="inlineStr">
        <is>
          <t>height(node) returns 1+max(L,R); at each node update best = max(best, L+R).</t>
        </is>
      </c>
      <c r="P63" s="38" t="inlineStr">
        <is>
          <t>O(n)</t>
        </is>
      </c>
      <c r="Q63" s="38" t="inlineStr">
        <is>
          <t>O(h)</t>
        </is>
      </c>
      <c r="R63" s="38" t="inlineStr">
        <is>
          <t>The path may not pass through the root. Diameter is counted in EDGES.</t>
        </is>
      </c>
      <c r="S63" s="38" t="inlineStr">
        <is>
          <t>Binary Tree Maximum Path Sum (LC 124).</t>
        </is>
      </c>
      <c r="T63" s="39" t="inlineStr">
        <is>
          <t>Not Started</t>
        </is>
      </c>
      <c r="U63" s="40" t="n"/>
      <c r="V63" s="39" t="n"/>
      <c r="W63" s="39" t="n"/>
      <c r="X63" s="41">
        <f>IF(U63&lt;&gt;"",U63+7,C63+7)</f>
        <v/>
      </c>
      <c r="Y63" s="42" t="n"/>
    </row>
    <row r="64" ht="105" customHeight="1">
      <c r="A64" s="84" t="n">
        <v>56</v>
      </c>
      <c r="B64" s="85" t="n">
        <v>8</v>
      </c>
      <c r="C64" s="86">
        <f>Dashboard!$C$5+A64-1</f>
        <v/>
      </c>
      <c r="D64" s="87" t="inlineStr">
        <is>
          <t>Trees &amp; BST</t>
        </is>
      </c>
      <c r="E64" s="85" t="inlineStr">
        <is>
          <t>Main</t>
        </is>
      </c>
      <c r="F64" s="88" t="inlineStr">
        <is>
          <t>Balanced Binary Tree</t>
        </is>
      </c>
      <c r="G64" s="85" t="inlineStr">
        <is>
          <t>LeetCode</t>
        </is>
      </c>
      <c r="H64" s="85" t="n">
        <v>110</v>
      </c>
      <c r="I64" s="89" t="inlineStr">
        <is>
          <t>Open</t>
        </is>
      </c>
      <c r="J64" s="85" t="inlineStr">
        <is>
          <t>Easy</t>
        </is>
      </c>
      <c r="K64" s="87" t="inlineStr">
        <is>
          <t>Sheet P8 #5</t>
        </is>
      </c>
      <c r="L64" s="87" t="inlineStr">
        <is>
          <t>DFS (bottom-up)</t>
        </is>
      </c>
      <c r="M64" s="38" t="inlineStr">
        <is>
          <t>Return true if, for every node, the heights of the left and right subtrees differ by at most 1.</t>
        </is>
      </c>
      <c r="N64" s="38" t="inlineStr">
        <is>
          <t>Compute height at every node top-down -&gt; O(n^2).</t>
        </is>
      </c>
      <c r="O64" s="38" t="inlineStr">
        <is>
          <t>Bottom-up: return height, or -1 as a sentinel for 'unbalanced'; propagate -1 upward.</t>
        </is>
      </c>
      <c r="P64" s="38" t="inlineStr">
        <is>
          <t>O(n)</t>
        </is>
      </c>
      <c r="Q64" s="38" t="inlineStr">
        <is>
          <t>O(h)</t>
        </is>
      </c>
      <c r="R64" s="38" t="inlineStr">
        <is>
          <t>Same 'return height + update global' template as diameter.</t>
        </is>
      </c>
      <c r="S64" s="38" t="inlineStr"/>
      <c r="T64" s="39" t="inlineStr">
        <is>
          <t>Not Started</t>
        </is>
      </c>
      <c r="U64" s="40" t="n"/>
      <c r="V64" s="39" t="n"/>
      <c r="W64" s="39" t="n"/>
      <c r="X64" s="41">
        <f>IF(U64&lt;&gt;"",U64+7,C64+7)</f>
        <v/>
      </c>
      <c r="Y64" s="42" t="n"/>
    </row>
    <row r="65" ht="105" customHeight="1">
      <c r="A65" s="84" t="n">
        <v>57</v>
      </c>
      <c r="B65" s="85" t="n">
        <v>9</v>
      </c>
      <c r="C65" s="86">
        <f>Dashboard!$C$5+A65-1</f>
        <v/>
      </c>
      <c r="D65" s="87" t="inlineStr">
        <is>
          <t>Trees &amp; BST</t>
        </is>
      </c>
      <c r="E65" s="85" t="inlineStr">
        <is>
          <t>Main</t>
        </is>
      </c>
      <c r="F65" s="88" t="inlineStr">
        <is>
          <t>Validate Binary Search Tree</t>
        </is>
      </c>
      <c r="G65" s="85" t="inlineStr">
        <is>
          <t>LeetCode</t>
        </is>
      </c>
      <c r="H65" s="85" t="n">
        <v>98</v>
      </c>
      <c r="I65" s="89" t="inlineStr">
        <is>
          <t>Open</t>
        </is>
      </c>
      <c r="J65" s="85" t="inlineStr">
        <is>
          <t>Medium</t>
        </is>
      </c>
      <c r="K65" s="87" t="inlineStr">
        <is>
          <t>Sheet P8 #6</t>
        </is>
      </c>
      <c r="L65" s="87" t="inlineStr">
        <is>
          <t>DFS with bounds / Inorder</t>
        </is>
      </c>
      <c r="M65" s="38" t="inlineStr">
        <is>
          <t>Determine if a binary tree is a valid BST (left &lt; node &lt; right for ALL descendants).</t>
        </is>
      </c>
      <c r="N65" s="38" t="inlineStr">
        <is>
          <t>For each node, check max of left subtree and min of right subtree -&gt; O(n^2).</t>
        </is>
      </c>
      <c r="O65" s="38" t="inlineStr">
        <is>
          <t>DFS(node, low, high): node.val must be strictly within (low, high). Or inorder traversal must be strictly increasing.</t>
        </is>
      </c>
      <c r="P65" s="38" t="inlineStr">
        <is>
          <t>O(n)</t>
        </is>
      </c>
      <c r="Q65" s="38" t="inlineStr">
        <is>
          <t>O(h)</t>
        </is>
      </c>
      <c r="R65" s="38" t="inlineStr">
        <is>
          <t>Checking only immediate children is WRONG. Use long / null bounds for Integer.MIN/MAX values.</t>
        </is>
      </c>
      <c r="S65" s="38" t="inlineStr">
        <is>
          <t>Recover a BST with two swapped nodes (LC 99).</t>
        </is>
      </c>
      <c r="T65" s="39" t="inlineStr">
        <is>
          <t>Not Started</t>
        </is>
      </c>
      <c r="U65" s="40" t="n"/>
      <c r="V65" s="39" t="n"/>
      <c r="W65" s="39" t="n"/>
      <c r="X65" s="41">
        <f>IF(U65&lt;&gt;"",U65+7,C65+7)</f>
        <v/>
      </c>
      <c r="Y65" s="42" t="n"/>
    </row>
    <row r="66" ht="105" customHeight="1">
      <c r="A66" s="84" t="n">
        <v>58</v>
      </c>
      <c r="B66" s="85" t="n">
        <v>9</v>
      </c>
      <c r="C66" s="86">
        <f>Dashboard!$C$5+A66-1</f>
        <v/>
      </c>
      <c r="D66" s="87" t="inlineStr">
        <is>
          <t>Trees &amp; BST</t>
        </is>
      </c>
      <c r="E66" s="85" t="inlineStr">
        <is>
          <t>Main</t>
        </is>
      </c>
      <c r="F66" s="88" t="inlineStr">
        <is>
          <t>Kth Smallest Element in a BST</t>
        </is>
      </c>
      <c r="G66" s="85" t="inlineStr">
        <is>
          <t>LeetCode</t>
        </is>
      </c>
      <c r="H66" s="85" t="n">
        <v>230</v>
      </c>
      <c r="I66" s="89" t="inlineStr">
        <is>
          <t>Open</t>
        </is>
      </c>
      <c r="J66" s="85" t="inlineStr">
        <is>
          <t>Medium</t>
        </is>
      </c>
      <c r="K66" s="87" t="inlineStr">
        <is>
          <t>Added (BST property)</t>
        </is>
      </c>
      <c r="L66" s="87" t="inlineStr">
        <is>
          <t>Inorder Traversal</t>
        </is>
      </c>
      <c r="M66" s="38" t="inlineStr">
        <is>
          <t>Return the k-th smallest value in a BST.</t>
        </is>
      </c>
      <c r="N66" s="38" t="inlineStr">
        <is>
          <t>Collect all values and sort -&gt; O(n log n).</t>
        </is>
      </c>
      <c r="O66" s="38" t="inlineStr">
        <is>
          <t>Inorder traversal (iterative), counting nodes; stop at the k-th visited node.</t>
        </is>
      </c>
      <c r="P66" s="38" t="inlineStr">
        <is>
          <t>O(h + k)</t>
        </is>
      </c>
      <c r="Q66" s="38" t="inlineStr">
        <is>
          <t>O(h)</t>
        </is>
      </c>
      <c r="R66" s="38" t="inlineStr">
        <is>
          <t>Leverages 'inorder of BST is sorted'.</t>
        </is>
      </c>
      <c r="S66" s="38" t="inlineStr">
        <is>
          <t>If the BST is modified often -&gt; store subtree sizes.</t>
        </is>
      </c>
      <c r="T66" s="39" t="inlineStr">
        <is>
          <t>Not Started</t>
        </is>
      </c>
      <c r="U66" s="40" t="n"/>
      <c r="V66" s="39" t="n"/>
      <c r="W66" s="39" t="n"/>
      <c r="X66" s="41">
        <f>IF(U66&lt;&gt;"",U66+7,C66+7)</f>
        <v/>
      </c>
      <c r="Y66" s="42" t="n"/>
    </row>
    <row r="67" ht="105" customHeight="1">
      <c r="A67" s="84" t="n">
        <v>59</v>
      </c>
      <c r="B67" s="85" t="n">
        <v>9</v>
      </c>
      <c r="C67" s="86">
        <f>Dashboard!$C$5+A67-1</f>
        <v/>
      </c>
      <c r="D67" s="87" t="inlineStr">
        <is>
          <t>Trees &amp; BST</t>
        </is>
      </c>
      <c r="E67" s="85" t="inlineStr">
        <is>
          <t>Main</t>
        </is>
      </c>
      <c r="F67" s="88" t="inlineStr">
        <is>
          <t>Lowest Common Ancestor of a Binary Tree</t>
        </is>
      </c>
      <c r="G67" s="85" t="inlineStr">
        <is>
          <t>LeetCode</t>
        </is>
      </c>
      <c r="H67" s="85" t="n">
        <v>236</v>
      </c>
      <c r="I67" s="89" t="inlineStr">
        <is>
          <t>Open</t>
        </is>
      </c>
      <c r="J67" s="85" t="inlineStr">
        <is>
          <t>Medium</t>
        </is>
      </c>
      <c r="K67" s="87" t="inlineStr">
        <is>
          <t>Sheet P8 #7</t>
        </is>
      </c>
      <c r="L67" s="87" t="inlineStr">
        <is>
          <t>DFS</t>
        </is>
      </c>
      <c r="M67" s="38" t="inlineStr">
        <is>
          <t>Return the lowest common ancestor of nodes p and q.</t>
        </is>
      </c>
      <c r="N67" s="38" t="inlineStr">
        <is>
          <t>Store root-to-node paths and compare -&gt; O(n) extra space.</t>
        </is>
      </c>
      <c r="O67" s="38" t="inlineStr">
        <is>
          <t>If root is null/p/q return root. left=LCA(left), right=LCA(right). Both non-null -&gt; root; else return the non-null one.</t>
        </is>
      </c>
      <c r="P67" s="38" t="inlineStr">
        <is>
          <t>O(n)</t>
        </is>
      </c>
      <c r="Q67" s="38" t="inlineStr">
        <is>
          <t>O(h)</t>
        </is>
      </c>
      <c r="R67" s="38" t="inlineStr">
        <is>
          <t>A node can be its own ancestor. For a BST (LC 235) use values to go left/right.</t>
        </is>
      </c>
      <c r="S67" s="38" t="inlineStr">
        <is>
          <t>LCA of BST (LC 235).</t>
        </is>
      </c>
      <c r="T67" s="39" t="inlineStr">
        <is>
          <t>Not Started</t>
        </is>
      </c>
      <c r="U67" s="40" t="n"/>
      <c r="V67" s="39" t="n"/>
      <c r="W67" s="39" t="n"/>
      <c r="X67" s="41">
        <f>IF(U67&lt;&gt;"",U67+7,C67+7)</f>
        <v/>
      </c>
      <c r="Y67" s="42" t="n"/>
    </row>
    <row r="68" ht="105" customHeight="1">
      <c r="A68" s="90" t="n">
        <v>60</v>
      </c>
      <c r="B68" s="91" t="n">
        <v>9</v>
      </c>
      <c r="C68" s="92">
        <f>Dashboard!$C$5+A68-1</f>
        <v/>
      </c>
      <c r="D68" s="93" t="inlineStr">
        <is>
          <t>Heaps / Priority Queue</t>
        </is>
      </c>
      <c r="E68" s="91" t="inlineStr">
        <is>
          <t>Main</t>
        </is>
      </c>
      <c r="F68" s="94" t="inlineStr">
        <is>
          <t>Last Stone Weight</t>
        </is>
      </c>
      <c r="G68" s="91" t="inlineStr">
        <is>
          <t>LeetCode</t>
        </is>
      </c>
      <c r="H68" s="91" t="n">
        <v>1046</v>
      </c>
      <c r="I68" s="95" t="inlineStr">
        <is>
          <t>Open</t>
        </is>
      </c>
      <c r="J68" s="91" t="inlineStr">
        <is>
          <t>Easy</t>
        </is>
      </c>
      <c r="K68" s="93" t="inlineStr">
        <is>
          <t>Added (sheet's 'LC 1046' number)</t>
        </is>
      </c>
      <c r="L68" s="93" t="inlineStr">
        <is>
          <t>Max Heap</t>
        </is>
      </c>
      <c r="M68" s="38" t="inlineStr">
        <is>
          <t>Repeatedly smash the two heaviest stones; if different, the difference goes back. Return the last stone weight or 0.</t>
        </is>
      </c>
      <c r="N68" s="38" t="inlineStr">
        <is>
          <t>Sort after every smash -&gt; O(n^2 log n).</t>
        </is>
      </c>
      <c r="O68" s="38" t="inlineStr">
        <is>
          <t>Max heap. Pop two, push the difference if non-zero. Answer is the remaining top or 0.</t>
        </is>
      </c>
      <c r="P68" s="38" t="inlineStr">
        <is>
          <t>O(n log n)</t>
        </is>
      </c>
      <c r="Q68" s="38" t="inlineStr">
        <is>
          <t>O(n)</t>
        </is>
      </c>
      <c r="R68" s="38" t="inlineStr">
        <is>
          <t>Python heapq is a MIN heap - push negatives. Java: PriorityQueue with reverse comparator.</t>
        </is>
      </c>
      <c r="S68" s="38" t="inlineStr">
        <is>
          <t>Heap warm-up problem.</t>
        </is>
      </c>
      <c r="T68" s="39" t="inlineStr">
        <is>
          <t>Not Started</t>
        </is>
      </c>
      <c r="U68" s="40" t="n"/>
      <c r="V68" s="39" t="n"/>
      <c r="W68" s="39" t="n"/>
      <c r="X68" s="41">
        <f>IF(U68&lt;&gt;"",U68+7,C68+7)</f>
        <v/>
      </c>
      <c r="Y68" s="42" t="n"/>
    </row>
    <row r="69" ht="105" customHeight="1">
      <c r="A69" s="90" t="n">
        <v>61</v>
      </c>
      <c r="B69" s="91" t="n">
        <v>9</v>
      </c>
      <c r="C69" s="92">
        <f>Dashboard!$C$5+A69-1</f>
        <v/>
      </c>
      <c r="D69" s="93" t="inlineStr">
        <is>
          <t>Heaps / Priority Queue</t>
        </is>
      </c>
      <c r="E69" s="91" t="inlineStr">
        <is>
          <t>Main</t>
        </is>
      </c>
      <c r="F69" s="94" t="inlineStr">
        <is>
          <t>Kth Largest Element in an Array</t>
        </is>
      </c>
      <c r="G69" s="91" t="inlineStr">
        <is>
          <t>LeetCode</t>
        </is>
      </c>
      <c r="H69" s="91" t="n">
        <v>215</v>
      </c>
      <c r="I69" s="95" t="inlineStr">
        <is>
          <t>Open</t>
        </is>
      </c>
      <c r="J69" s="91" t="inlineStr">
        <is>
          <t>Medium</t>
        </is>
      </c>
      <c r="K69" s="93" t="inlineStr">
        <is>
          <t>Sheet P9 #1</t>
        </is>
      </c>
      <c r="L69" s="93" t="inlineStr">
        <is>
          <t>Min Heap of size k</t>
        </is>
      </c>
      <c r="M69" s="38" t="inlineStr">
        <is>
          <t>Return the k-th largest element (not necessarily distinct) without fully sorting.</t>
        </is>
      </c>
      <c r="N69" s="38" t="inlineStr">
        <is>
          <t>Sort descending -&gt; O(n log n).</t>
        </is>
      </c>
      <c r="O69" s="38" t="inlineStr">
        <is>
          <t>Min heap of size k: push each num, pop when size &gt; k. Top is the answer. (Quickselect: average O(n).)</t>
        </is>
      </c>
      <c r="P69" s="38" t="inlineStr">
        <is>
          <t>O(n log k)</t>
        </is>
      </c>
      <c r="Q69" s="38" t="inlineStr">
        <is>
          <t>O(k)</t>
        </is>
      </c>
      <c r="R69" s="38" t="inlineStr">
        <is>
          <t>K LARGEST -&gt; MIN heap; K SMALLEST -&gt; MAX heap.</t>
        </is>
      </c>
      <c r="S69" s="38" t="inlineStr">
        <is>
          <t>Quickselect and its worst case.</t>
        </is>
      </c>
      <c r="T69" s="39" t="inlineStr">
        <is>
          <t>Not Started</t>
        </is>
      </c>
      <c r="U69" s="40" t="n"/>
      <c r="V69" s="39" t="n"/>
      <c r="W69" s="39" t="n"/>
      <c r="X69" s="41">
        <f>IF(U69&lt;&gt;"",U69+7,C69+7)</f>
        <v/>
      </c>
      <c r="Y69" s="42" t="n"/>
    </row>
    <row r="70" ht="105" customHeight="1">
      <c r="A70" s="90" t="n">
        <v>62</v>
      </c>
      <c r="B70" s="91" t="n">
        <v>9</v>
      </c>
      <c r="C70" s="92">
        <f>Dashboard!$C$5+A70-1</f>
        <v/>
      </c>
      <c r="D70" s="93" t="inlineStr">
        <is>
          <t>Heaps / Priority Queue</t>
        </is>
      </c>
      <c r="E70" s="91" t="inlineStr">
        <is>
          <t>Main</t>
        </is>
      </c>
      <c r="F70" s="94" t="inlineStr">
        <is>
          <t>K Closest Points to Origin</t>
        </is>
      </c>
      <c r="G70" s="91" t="inlineStr">
        <is>
          <t>LeetCode</t>
        </is>
      </c>
      <c r="H70" s="91" t="n">
        <v>973</v>
      </c>
      <c r="I70" s="95" t="inlineStr">
        <is>
          <t>Open</t>
        </is>
      </c>
      <c r="J70" s="91" t="inlineStr">
        <is>
          <t>Medium</t>
        </is>
      </c>
      <c r="K70" s="93" t="inlineStr">
        <is>
          <t>Sheet P9 #2</t>
        </is>
      </c>
      <c r="L70" s="93" t="inlineStr">
        <is>
          <t>Max Heap of size k</t>
        </is>
      </c>
      <c r="M70" s="38" t="inlineStr">
        <is>
          <t>Return the k points closest to (0,0).</t>
        </is>
      </c>
      <c r="N70" s="38" t="inlineStr">
        <is>
          <t>Sort all points by distance -&gt; O(n log n).</t>
        </is>
      </c>
      <c r="O70" s="38" t="inlineStr">
        <is>
          <t>Max heap keyed on squared distance; keep size k (pop the farthest when size &gt; k).</t>
        </is>
      </c>
      <c r="P70" s="38" t="inlineStr">
        <is>
          <t>O(n log k)</t>
        </is>
      </c>
      <c r="Q70" s="38" t="inlineStr">
        <is>
          <t>O(k)</t>
        </is>
      </c>
      <c r="R70" s="38" t="inlineStr">
        <is>
          <t>Use x^2 + y^2 - no need for sqrt.</t>
        </is>
      </c>
      <c r="S70" s="38" t="inlineStr">
        <is>
          <t>Quickselect variant.</t>
        </is>
      </c>
      <c r="T70" s="39" t="inlineStr">
        <is>
          <t>Not Started</t>
        </is>
      </c>
      <c r="U70" s="40" t="n"/>
      <c r="V70" s="39" t="n"/>
      <c r="W70" s="39" t="n"/>
      <c r="X70" s="41">
        <f>IF(U70&lt;&gt;"",U70+7,C70+7)</f>
        <v/>
      </c>
      <c r="Y70" s="42" t="n"/>
    </row>
    <row r="71" ht="105" customHeight="1">
      <c r="A71" s="90" t="n">
        <v>63</v>
      </c>
      <c r="B71" s="91" t="n">
        <v>9</v>
      </c>
      <c r="C71" s="92">
        <f>Dashboard!$C$5+A71-1</f>
        <v/>
      </c>
      <c r="D71" s="93" t="inlineStr">
        <is>
          <t>Heaps / Priority Queue</t>
        </is>
      </c>
      <c r="E71" s="91" t="inlineStr">
        <is>
          <t>Main</t>
        </is>
      </c>
      <c r="F71" s="94" t="inlineStr">
        <is>
          <t>Sort a Nearly Sorted (K-Sorted) Array</t>
        </is>
      </c>
      <c r="G71" s="91" t="inlineStr">
        <is>
          <t>GFG</t>
        </is>
      </c>
      <c r="H71" s="91" t="inlineStr">
        <is>
          <t>-</t>
        </is>
      </c>
      <c r="I71" s="95" t="inlineStr">
        <is>
          <t>Open</t>
        </is>
      </c>
      <c r="J71" s="91" t="inlineStr">
        <is>
          <t>Medium</t>
        </is>
      </c>
      <c r="K71" s="93" t="inlineStr">
        <is>
          <t>Sheet P9 #6 (sheet says LC 1046 - wrong)</t>
        </is>
      </c>
      <c r="L71" s="93" t="inlineStr">
        <is>
          <t>Min Heap of size k+1</t>
        </is>
      </c>
      <c r="M71" s="38" t="inlineStr">
        <is>
          <t>Each element is at most k positions away from its sorted position. Sort the array efficiently.</t>
        </is>
      </c>
      <c r="N71" s="38" t="inlineStr">
        <is>
          <t>Normal sort -&gt; O(n log n).</t>
        </is>
      </c>
      <c r="O71" s="38" t="inlineStr">
        <is>
          <t>Min heap of the first k+1 elements. Repeatedly pop min into the output and push the next element.</t>
        </is>
      </c>
      <c r="P71" s="38" t="inlineStr">
        <is>
          <t>O(n log k)</t>
        </is>
      </c>
      <c r="Q71" s="38" t="inlineStr">
        <is>
          <t>O(k)</t>
        </is>
      </c>
      <c r="R71" s="38" t="inlineStr">
        <is>
          <t>Heap size k+1 because the correct element for position i is within i..i+k.</t>
        </is>
      </c>
      <c r="S71" s="38" t="inlineStr"/>
      <c r="T71" s="39" t="inlineStr">
        <is>
          <t>Not Started</t>
        </is>
      </c>
      <c r="U71" s="40" t="n"/>
      <c r="V71" s="39" t="n"/>
      <c r="W71" s="39" t="n"/>
      <c r="X71" s="41">
        <f>IF(U71&lt;&gt;"",U71+7,C71+7)</f>
        <v/>
      </c>
      <c r="Y71" s="42" t="n"/>
    </row>
    <row r="72" ht="105" customHeight="1">
      <c r="A72" s="90" t="n">
        <v>64</v>
      </c>
      <c r="B72" s="91" t="n">
        <v>10</v>
      </c>
      <c r="C72" s="92">
        <f>Dashboard!$C$5+A72-1</f>
        <v/>
      </c>
      <c r="D72" s="93" t="inlineStr">
        <is>
          <t>Heaps / Priority Queue</t>
        </is>
      </c>
      <c r="E72" s="91" t="inlineStr">
        <is>
          <t>Main</t>
        </is>
      </c>
      <c r="F72" s="94" t="inlineStr">
        <is>
          <t>Merge k Sorted Lists</t>
        </is>
      </c>
      <c r="G72" s="91" t="inlineStr">
        <is>
          <t>LeetCode</t>
        </is>
      </c>
      <c r="H72" s="91" t="n">
        <v>23</v>
      </c>
      <c r="I72" s="95" t="inlineStr">
        <is>
          <t>Open</t>
        </is>
      </c>
      <c r="J72" s="91" t="inlineStr">
        <is>
          <t>Hard</t>
        </is>
      </c>
      <c r="K72" s="93" t="inlineStr">
        <is>
          <t>Sheet P9 #3</t>
        </is>
      </c>
      <c r="L72" s="93" t="inlineStr">
        <is>
          <t>Min Heap</t>
        </is>
      </c>
      <c r="M72" s="38" t="inlineStr">
        <is>
          <t>Merge k sorted linked lists into one sorted list.</t>
        </is>
      </c>
      <c r="N72" s="38" t="inlineStr">
        <is>
          <t>Merge lists one by one -&gt; O(N*k).</t>
        </is>
      </c>
      <c r="O72" s="38" t="inlineStr">
        <is>
          <t>Push each list's head into a min heap. Pop min, attach to result, push its next.</t>
        </is>
      </c>
      <c r="P72" s="38" t="inlineStr">
        <is>
          <t>O(N log k)</t>
        </is>
      </c>
      <c r="Q72" s="38" t="inlineStr">
        <is>
          <t>O(k)</t>
        </is>
      </c>
      <c r="R72" s="38" t="inlineStr">
        <is>
          <t>In Python push (val, index, node) to avoid comparing nodes. Divide &amp; conquer merging also gives O(N log k).</t>
        </is>
      </c>
      <c r="S72" s="38" t="inlineStr"/>
      <c r="T72" s="39" t="inlineStr">
        <is>
          <t>Not Started</t>
        </is>
      </c>
      <c r="U72" s="40" t="n"/>
      <c r="V72" s="39" t="n"/>
      <c r="W72" s="39" t="n"/>
      <c r="X72" s="41">
        <f>IF(U72&lt;&gt;"",U72+7,C72+7)</f>
        <v/>
      </c>
      <c r="Y72" s="42" t="n"/>
    </row>
    <row r="73" ht="105" customHeight="1">
      <c r="A73" s="90" t="n">
        <v>65</v>
      </c>
      <c r="B73" s="91" t="n">
        <v>10</v>
      </c>
      <c r="C73" s="92">
        <f>Dashboard!$C$5+A73-1</f>
        <v/>
      </c>
      <c r="D73" s="93" t="inlineStr">
        <is>
          <t>Heaps / Priority Queue</t>
        </is>
      </c>
      <c r="E73" s="91" t="inlineStr">
        <is>
          <t>Main</t>
        </is>
      </c>
      <c r="F73" s="94" t="inlineStr">
        <is>
          <t>Find Median from Data Stream</t>
        </is>
      </c>
      <c r="G73" s="91" t="inlineStr">
        <is>
          <t>LeetCode</t>
        </is>
      </c>
      <c r="H73" s="91" t="n">
        <v>295</v>
      </c>
      <c r="I73" s="95" t="inlineStr">
        <is>
          <t>Open</t>
        </is>
      </c>
      <c r="J73" s="91" t="inlineStr">
        <is>
          <t>Hard</t>
        </is>
      </c>
      <c r="K73" s="93" t="inlineStr">
        <is>
          <t>Sheet P9 #4</t>
        </is>
      </c>
      <c r="L73" s="93" t="inlineStr">
        <is>
          <t>Two Heaps</t>
        </is>
      </c>
      <c r="M73" s="38" t="inlineStr">
        <is>
          <t>Design addNum() and findMedian() for a stream of numbers.</t>
        </is>
      </c>
      <c r="N73" s="38" t="inlineStr">
        <is>
          <t>Keep a sorted list and insert -&gt; O(n) per add.</t>
        </is>
      </c>
      <c r="O73" s="38" t="inlineStr">
        <is>
          <t>Max heap for the lower half, min heap for the upper half. Push to max heap, move its top to min heap, rebalance so max heap size &gt;= min heap size.</t>
        </is>
      </c>
      <c r="P73" s="38" t="inlineStr">
        <is>
          <t>O(log n) add, O(1) median</t>
        </is>
      </c>
      <c r="Q73" s="38" t="inlineStr">
        <is>
          <t>O(n)</t>
        </is>
      </c>
      <c r="R73" s="38" t="inlineStr">
        <is>
          <t>Median = top of max heap (odd) or average of both tops (even).</t>
        </is>
      </c>
      <c r="S73" s="38" t="inlineStr">
        <is>
          <t>Sliding Window Median (LC 480).</t>
        </is>
      </c>
      <c r="T73" s="39" t="inlineStr">
        <is>
          <t>Not Started</t>
        </is>
      </c>
      <c r="U73" s="40" t="n"/>
      <c r="V73" s="39" t="n"/>
      <c r="W73" s="39" t="n"/>
      <c r="X73" s="41">
        <f>IF(U73&lt;&gt;"",U73+7,C73+7)</f>
        <v/>
      </c>
      <c r="Y73" s="42" t="n"/>
    </row>
    <row r="74" ht="105" customHeight="1">
      <c r="A74" s="96" t="n">
        <v>66</v>
      </c>
      <c r="B74" s="97" t="n">
        <v>10</v>
      </c>
      <c r="C74" s="98">
        <f>Dashboard!$C$5+A74-1</f>
        <v/>
      </c>
      <c r="D74" s="99" t="inlineStr">
        <is>
          <t>Graphs (BFS / DFS)</t>
        </is>
      </c>
      <c r="E74" s="97" t="inlineStr">
        <is>
          <t>Main</t>
        </is>
      </c>
      <c r="F74" s="100" t="inlineStr">
        <is>
          <t>Number of Islands</t>
        </is>
      </c>
      <c r="G74" s="97" t="inlineStr">
        <is>
          <t>LeetCode</t>
        </is>
      </c>
      <c r="H74" s="97" t="n">
        <v>200</v>
      </c>
      <c r="I74" s="101" t="inlineStr">
        <is>
          <t>Open</t>
        </is>
      </c>
      <c r="J74" s="97" t="inlineStr">
        <is>
          <t>Medium</t>
        </is>
      </c>
      <c r="K74" s="99" t="inlineStr">
        <is>
          <t>Sheet P10 #1</t>
        </is>
      </c>
      <c r="L74" s="99" t="inlineStr">
        <is>
          <t>DFS / BFS on Grid</t>
        </is>
      </c>
      <c r="M74" s="38" t="inlineStr">
        <is>
          <t>Count the islands ('1' connected 4-directionally) in a 2D grid.</t>
        </is>
      </c>
      <c r="N74" s="38" t="inlineStr">
        <is>
          <t>-</t>
        </is>
      </c>
      <c r="O74" s="38" t="inlineStr">
        <is>
          <t>Scan cells; on an unvisited '1', count++ and DFS/BFS to mark the whole island visited (e.g., set to '0').</t>
        </is>
      </c>
      <c r="P74" s="38" t="inlineStr">
        <is>
          <t>O(m*n)</t>
        </is>
      </c>
      <c r="Q74" s="38" t="inlineStr">
        <is>
          <t>O(m*n) (recursion / queue)</t>
        </is>
      </c>
      <c r="R74" s="38" t="inlineStr">
        <is>
          <t>Bounds check before accessing grid. 4 directions only.</t>
        </is>
      </c>
      <c r="S74" s="38" t="inlineStr">
        <is>
          <t>Max Area of Island (LC 695). Number of Distinct Islands.</t>
        </is>
      </c>
      <c r="T74" s="39" t="inlineStr">
        <is>
          <t>Not Started</t>
        </is>
      </c>
      <c r="U74" s="40" t="n"/>
      <c r="V74" s="39" t="n"/>
      <c r="W74" s="39" t="n"/>
      <c r="X74" s="41">
        <f>IF(U74&lt;&gt;"",U74+7,C74+7)</f>
        <v/>
      </c>
      <c r="Y74" s="42" t="n"/>
    </row>
    <row r="75" ht="105" customHeight="1">
      <c r="A75" s="96" t="n">
        <v>66</v>
      </c>
      <c r="B75" s="97" t="n">
        <v>10</v>
      </c>
      <c r="C75" s="98">
        <f>Dashboard!$C$5+A75-1</f>
        <v/>
      </c>
      <c r="D75" s="99" t="inlineStr">
        <is>
          <t>Graphs (BFS / DFS)</t>
        </is>
      </c>
      <c r="E75" s="97" t="inlineStr">
        <is>
          <t>Bonus</t>
        </is>
      </c>
      <c r="F75" s="102" t="inlineStr">
        <is>
          <t>Flood Fill</t>
        </is>
      </c>
      <c r="G75" s="97" t="inlineStr">
        <is>
          <t>LeetCode</t>
        </is>
      </c>
      <c r="H75" s="97" t="n">
        <v>733</v>
      </c>
      <c r="I75" s="101" t="inlineStr">
        <is>
          <t>Open</t>
        </is>
      </c>
      <c r="J75" s="97" t="inlineStr">
        <is>
          <t>Easy</t>
        </is>
      </c>
      <c r="K75" s="99" t="inlineStr">
        <is>
          <t>Added (grid DFS warm-up)</t>
        </is>
      </c>
      <c r="L75" s="99" t="inlineStr">
        <is>
          <t>DFS on Grid</t>
        </is>
      </c>
      <c r="M75" s="38" t="inlineStr">
        <is>
          <t>Recolour the connected region of the start pixel with a new colour.</t>
        </is>
      </c>
      <c r="N75" s="38" t="inlineStr">
        <is>
          <t>-</t>
        </is>
      </c>
      <c r="O75" s="38" t="inlineStr">
        <is>
          <t>DFS from (sr,sc), recolour cells matching the original colour.</t>
        </is>
      </c>
      <c r="P75" s="38" t="inlineStr">
        <is>
          <t>O(m*n)</t>
        </is>
      </c>
      <c r="Q75" s="38" t="inlineStr">
        <is>
          <t>O(m*n)</t>
        </is>
      </c>
      <c r="R75" s="38" t="inlineStr">
        <is>
          <t>If newColor == original colour, return immediately (else infinite recursion).</t>
        </is>
      </c>
      <c r="S75" s="38" t="inlineStr"/>
      <c r="T75" s="39" t="inlineStr">
        <is>
          <t>Not Started</t>
        </is>
      </c>
      <c r="U75" s="40" t="n"/>
      <c r="V75" s="39" t="n"/>
      <c r="W75" s="39" t="n"/>
      <c r="X75" s="41">
        <f>IF(U75&lt;&gt;"",U75+7,C75+7)</f>
        <v/>
      </c>
      <c r="Y75" s="42" t="n"/>
    </row>
    <row r="76" ht="105" customHeight="1">
      <c r="A76" s="96" t="n">
        <v>67</v>
      </c>
      <c r="B76" s="97" t="n">
        <v>10</v>
      </c>
      <c r="C76" s="98">
        <f>Dashboard!$C$5+A76-1</f>
        <v/>
      </c>
      <c r="D76" s="99" t="inlineStr">
        <is>
          <t>Graphs (BFS / DFS)</t>
        </is>
      </c>
      <c r="E76" s="97" t="inlineStr">
        <is>
          <t>Main</t>
        </is>
      </c>
      <c r="F76" s="100" t="inlineStr">
        <is>
          <t>Clone Graph</t>
        </is>
      </c>
      <c r="G76" s="97" t="inlineStr">
        <is>
          <t>LeetCode</t>
        </is>
      </c>
      <c r="H76" s="97" t="n">
        <v>133</v>
      </c>
      <c r="I76" s="101" t="inlineStr">
        <is>
          <t>Open</t>
        </is>
      </c>
      <c r="J76" s="97" t="inlineStr">
        <is>
          <t>Medium</t>
        </is>
      </c>
      <c r="K76" s="99" t="inlineStr">
        <is>
          <t>Sheet P10 #2</t>
        </is>
      </c>
      <c r="L76" s="99" t="inlineStr">
        <is>
          <t>DFS / BFS + HashMap</t>
        </is>
      </c>
      <c r="M76" s="38" t="inlineStr">
        <is>
          <t>Return a deep copy of a connected undirected graph.</t>
        </is>
      </c>
      <c r="N76" s="38" t="inlineStr">
        <is>
          <t>-</t>
        </is>
      </c>
      <c r="O76" s="38" t="inlineStr">
        <is>
          <t>HashMap original -&gt; clone. DFS: if node already cloned return it; else create clone, store it, then clone neighbours.</t>
        </is>
      </c>
      <c r="P76" s="38" t="inlineStr">
        <is>
          <t>O(V + E)</t>
        </is>
      </c>
      <c r="Q76" s="38" t="inlineStr">
        <is>
          <t>O(V)</t>
        </is>
      </c>
      <c r="R76" s="38" t="inlineStr">
        <is>
          <t>Put the clone in the map BEFORE recursing into neighbours (handles cycles).</t>
        </is>
      </c>
      <c r="S76" s="38" t="inlineStr">
        <is>
          <t>Copy List with Random Pointer (LC 138).</t>
        </is>
      </c>
      <c r="T76" s="39" t="inlineStr">
        <is>
          <t>Not Started</t>
        </is>
      </c>
      <c r="U76" s="40" t="n"/>
      <c r="V76" s="39" t="n"/>
      <c r="W76" s="39" t="n"/>
      <c r="X76" s="41">
        <f>IF(U76&lt;&gt;"",U76+7,C76+7)</f>
        <v/>
      </c>
      <c r="Y76" s="42" t="n"/>
    </row>
    <row r="77" ht="105" customHeight="1">
      <c r="A77" s="96" t="n">
        <v>68</v>
      </c>
      <c r="B77" s="97" t="n">
        <v>10</v>
      </c>
      <c r="C77" s="98">
        <f>Dashboard!$C$5+A77-1</f>
        <v/>
      </c>
      <c r="D77" s="99" t="inlineStr">
        <is>
          <t>Graphs (BFS / DFS)</t>
        </is>
      </c>
      <c r="E77" s="97" t="inlineStr">
        <is>
          <t>Main</t>
        </is>
      </c>
      <c r="F77" s="100" t="inlineStr">
        <is>
          <t>Number of Provinces</t>
        </is>
      </c>
      <c r="G77" s="97" t="inlineStr">
        <is>
          <t>LeetCode</t>
        </is>
      </c>
      <c r="H77" s="97" t="n">
        <v>547</v>
      </c>
      <c r="I77" s="101" t="inlineStr">
        <is>
          <t>Open</t>
        </is>
      </c>
      <c r="J77" s="97" t="inlineStr">
        <is>
          <t>Medium</t>
        </is>
      </c>
      <c r="K77" s="99" t="inlineStr">
        <is>
          <t>Sheet P10 #3 (LC 547 is this problem)</t>
        </is>
      </c>
      <c r="L77" s="99" t="inlineStr">
        <is>
          <t>DFS / Union-Find</t>
        </is>
      </c>
      <c r="M77" s="38" t="inlineStr">
        <is>
          <t>Given an adjacency matrix isConnected, return the number of connected components (provinces).</t>
        </is>
      </c>
      <c r="N77" s="38" t="inlineStr">
        <is>
          <t>-</t>
        </is>
      </c>
      <c r="O77" s="38" t="inlineStr">
        <is>
          <t>DFS from every unvisited city, count++. Or Union-Find: union connected pairs, count distinct roots.</t>
        </is>
      </c>
      <c r="P77" s="38" t="inlineStr">
        <is>
          <t>O(n^2)</t>
        </is>
      </c>
      <c r="Q77" s="38" t="inlineStr">
        <is>
          <t>O(n)</t>
        </is>
      </c>
      <c r="R77" s="38" t="inlineStr">
        <is>
          <t>Learn DSU with path compression + union by rank here - reused on Days 77-78.</t>
        </is>
      </c>
      <c r="S77" s="38" t="inlineStr"/>
      <c r="T77" s="39" t="inlineStr">
        <is>
          <t>Not Started</t>
        </is>
      </c>
      <c r="U77" s="40" t="n"/>
      <c r="V77" s="39" t="n"/>
      <c r="W77" s="39" t="n"/>
      <c r="X77" s="41">
        <f>IF(U77&lt;&gt;"",U77+7,C77+7)</f>
        <v/>
      </c>
      <c r="Y77" s="42" t="n"/>
    </row>
    <row r="78" ht="105" customHeight="1">
      <c r="A78" s="96" t="n">
        <v>69</v>
      </c>
      <c r="B78" s="97" t="n">
        <v>10</v>
      </c>
      <c r="C78" s="98">
        <f>Dashboard!$C$5+A78-1</f>
        <v/>
      </c>
      <c r="D78" s="99" t="inlineStr">
        <is>
          <t>Graphs (BFS / DFS)</t>
        </is>
      </c>
      <c r="E78" s="97" t="inlineStr">
        <is>
          <t>Main</t>
        </is>
      </c>
      <c r="F78" s="100" t="inlineStr">
        <is>
          <t>Detect Cycle in an Undirected Graph</t>
        </is>
      </c>
      <c r="G78" s="97" t="inlineStr">
        <is>
          <t>GFG</t>
        </is>
      </c>
      <c r="H78" s="97" t="inlineStr">
        <is>
          <t>-</t>
        </is>
      </c>
      <c r="I78" s="101" t="inlineStr">
        <is>
          <t>Open</t>
        </is>
      </c>
      <c r="J78" s="97" t="inlineStr">
        <is>
          <t>Medium</t>
        </is>
      </c>
      <c r="K78" s="99" t="inlineStr">
        <is>
          <t>Sheet P10 #3</t>
        </is>
      </c>
      <c r="L78" s="99" t="inlineStr">
        <is>
          <t>DFS with parent / Union-Find</t>
        </is>
      </c>
      <c r="M78" s="38" t="inlineStr">
        <is>
          <t>Given V vertices and an adjacency list, return true if the undirected graph contains a cycle.</t>
        </is>
      </c>
      <c r="N78" s="38" t="inlineStr">
        <is>
          <t>-</t>
        </is>
      </c>
      <c r="O78" s="38" t="inlineStr">
        <is>
          <t>DFS(node, parent): if a visited neighbour is not the parent -&gt; cycle. Or DSU: an edge whose ends are already in the same set -&gt; cycle.</t>
        </is>
      </c>
      <c r="P78" s="38" t="inlineStr">
        <is>
          <t>O(V + E)</t>
        </is>
      </c>
      <c r="Q78" s="38" t="inlineStr">
        <is>
          <t>O(V)</t>
        </is>
      </c>
      <c r="R78" s="38" t="inlineStr">
        <is>
          <t>Run from every unvisited node (graph may be disconnected).</t>
        </is>
      </c>
      <c r="S78" s="38" t="inlineStr">
        <is>
          <t>Directed graph cycle -&gt; use recursion stack / Kahn's (Day 70).</t>
        </is>
      </c>
      <c r="T78" s="39" t="inlineStr">
        <is>
          <t>Not Started</t>
        </is>
      </c>
      <c r="U78" s="40" t="n"/>
      <c r="V78" s="39" t="n"/>
      <c r="W78" s="39" t="n"/>
      <c r="X78" s="41">
        <f>IF(U78&lt;&gt;"",U78+7,C78+7)</f>
        <v/>
      </c>
      <c r="Y78" s="42" t="n"/>
    </row>
    <row r="79" ht="105" customHeight="1">
      <c r="A79" s="96" t="n">
        <v>70</v>
      </c>
      <c r="B79" s="97" t="n">
        <v>10</v>
      </c>
      <c r="C79" s="98">
        <f>Dashboard!$C$5+A79-1</f>
        <v/>
      </c>
      <c r="D79" s="99" t="inlineStr">
        <is>
          <t>Graphs (BFS / DFS)</t>
        </is>
      </c>
      <c r="E79" s="97" t="inlineStr">
        <is>
          <t>Main</t>
        </is>
      </c>
      <c r="F79" s="100" t="inlineStr">
        <is>
          <t>Course Schedule</t>
        </is>
      </c>
      <c r="G79" s="97" t="inlineStr">
        <is>
          <t>LeetCode</t>
        </is>
      </c>
      <c r="H79" s="97" t="n">
        <v>207</v>
      </c>
      <c r="I79" s="101" t="inlineStr">
        <is>
          <t>Open</t>
        </is>
      </c>
      <c r="J79" s="97" t="inlineStr">
        <is>
          <t>Medium</t>
        </is>
      </c>
      <c r="K79" s="99" t="inlineStr">
        <is>
          <t>Sheet P10 #4</t>
        </is>
      </c>
      <c r="L79" s="99" t="inlineStr">
        <is>
          <t>Topological Sort (Kahn's BFS)</t>
        </is>
      </c>
      <c r="M79" s="38" t="inlineStr">
        <is>
          <t>numCourses with prerequisite pairs [a, b] (b before a). Return true if all courses can be finished.</t>
        </is>
      </c>
      <c r="N79" s="38" t="inlineStr">
        <is>
          <t>-</t>
        </is>
      </c>
      <c r="O79" s="38" t="inlineStr">
        <is>
          <t>Build graph + indegree. Queue all indegree-0 nodes; pop, count++, decrement neighbours' indegree. Possible if count == numCourses.</t>
        </is>
      </c>
      <c r="P79" s="38" t="inlineStr">
        <is>
          <t>O(V + E)</t>
        </is>
      </c>
      <c r="Q79" s="38" t="inlineStr">
        <is>
          <t>O(V + E)</t>
        </is>
      </c>
      <c r="R79" s="38" t="inlineStr">
        <is>
          <t>Edge direction: b -&gt; a. Remaining nodes with indegree &gt; 0 means a cycle.</t>
        </is>
      </c>
      <c r="S79" s="38" t="inlineStr">
        <is>
          <t>DFS 3-colour cycle detection.</t>
        </is>
      </c>
      <c r="T79" s="39" t="inlineStr">
        <is>
          <t>Not Started</t>
        </is>
      </c>
      <c r="U79" s="40" t="n"/>
      <c r="V79" s="39" t="n"/>
      <c r="W79" s="39" t="n"/>
      <c r="X79" s="41">
        <f>IF(U79&lt;&gt;"",U79+7,C79+7)</f>
        <v/>
      </c>
      <c r="Y79" s="42" t="n"/>
    </row>
    <row r="80" ht="105" customHeight="1">
      <c r="A80" s="96" t="n">
        <v>71</v>
      </c>
      <c r="B80" s="97" t="n">
        <v>11</v>
      </c>
      <c r="C80" s="98">
        <f>Dashboard!$C$5+A80-1</f>
        <v/>
      </c>
      <c r="D80" s="99" t="inlineStr">
        <is>
          <t>Graphs (BFS / DFS)</t>
        </is>
      </c>
      <c r="E80" s="97" t="inlineStr">
        <is>
          <t>Main</t>
        </is>
      </c>
      <c r="F80" s="100" t="inlineStr">
        <is>
          <t>Course Schedule II (Topological Sort)</t>
        </is>
      </c>
      <c r="G80" s="97" t="inlineStr">
        <is>
          <t>LeetCode</t>
        </is>
      </c>
      <c r="H80" s="97" t="n">
        <v>210</v>
      </c>
      <c r="I80" s="101" t="inlineStr">
        <is>
          <t>Open</t>
        </is>
      </c>
      <c r="J80" s="97" t="inlineStr">
        <is>
          <t>Medium</t>
        </is>
      </c>
      <c r="K80" s="99" t="inlineStr">
        <is>
          <t>Sheet P10 #7</t>
        </is>
      </c>
      <c r="L80" s="99" t="inlineStr">
        <is>
          <t>Topological Sort</t>
        </is>
      </c>
      <c r="M80" s="38" t="inlineStr">
        <is>
          <t>Return any valid order of courses, or [] if impossible.</t>
        </is>
      </c>
      <c r="N80" s="38" t="inlineStr">
        <is>
          <t>-</t>
        </is>
      </c>
      <c r="O80" s="38" t="inlineStr">
        <is>
          <t>Same as Day 70, but append popped nodes to the order. If order length &lt; numCourses, return [].</t>
        </is>
      </c>
      <c r="P80" s="38" t="inlineStr">
        <is>
          <t>O(V + E)</t>
        </is>
      </c>
      <c r="Q80" s="38" t="inlineStr">
        <is>
          <t>O(V + E)</t>
        </is>
      </c>
      <c r="R80" s="38" t="inlineStr">
        <is>
          <t>Topological order exists only for DAGs.</t>
        </is>
      </c>
      <c r="S80" s="38" t="inlineStr">
        <is>
          <t>Alien Dictionary (LC 269).</t>
        </is>
      </c>
      <c r="T80" s="39" t="inlineStr">
        <is>
          <t>Not Started</t>
        </is>
      </c>
      <c r="U80" s="40" t="n"/>
      <c r="V80" s="39" t="n"/>
      <c r="W80" s="39" t="n"/>
      <c r="X80" s="41">
        <f>IF(U80&lt;&gt;"",U80+7,C80+7)</f>
        <v/>
      </c>
      <c r="Y80" s="42" t="n"/>
    </row>
    <row r="81" ht="105" customHeight="1">
      <c r="A81" s="96" t="n">
        <v>72</v>
      </c>
      <c r="B81" s="97" t="n">
        <v>11</v>
      </c>
      <c r="C81" s="98">
        <f>Dashboard!$C$5+A81-1</f>
        <v/>
      </c>
      <c r="D81" s="99" t="inlineStr">
        <is>
          <t>Graphs (BFS / DFS)</t>
        </is>
      </c>
      <c r="E81" s="97" t="inlineStr">
        <is>
          <t>Main</t>
        </is>
      </c>
      <c r="F81" s="100" t="inlineStr">
        <is>
          <t>Rotting Oranges</t>
        </is>
      </c>
      <c r="G81" s="97" t="inlineStr">
        <is>
          <t>LeetCode</t>
        </is>
      </c>
      <c r="H81" s="97" t="n">
        <v>994</v>
      </c>
      <c r="I81" s="101" t="inlineStr">
        <is>
          <t>Open</t>
        </is>
      </c>
      <c r="J81" s="97" t="inlineStr">
        <is>
          <t>Medium</t>
        </is>
      </c>
      <c r="K81" s="99" t="inlineStr">
        <is>
          <t>Added (multi-source BFS)</t>
        </is>
      </c>
      <c r="L81" s="99" t="inlineStr">
        <is>
          <t>Multi-source BFS</t>
        </is>
      </c>
      <c r="M81" s="38" t="inlineStr">
        <is>
          <t>Each minute, rotten oranges rot 4-adjacent fresh ones. Return minutes until none are fresh, or -1.</t>
        </is>
      </c>
      <c r="N81" s="38" t="inlineStr">
        <is>
          <t>Simulate minute by minute scanning the grid -&gt; O((mn)^2).</t>
        </is>
      </c>
      <c r="O81" s="38" t="inlineStr">
        <is>
          <t>Push all rotten cells into the queue at once; BFS level by level counting minutes; track the fresh count.</t>
        </is>
      </c>
      <c r="P81" s="38" t="inlineStr">
        <is>
          <t>O(m*n)</t>
        </is>
      </c>
      <c r="Q81" s="38" t="inlineStr">
        <is>
          <t>O(m*n)</t>
        </is>
      </c>
      <c r="R81" s="38" t="inlineStr">
        <is>
          <t>No fresh oranges at start -&gt; 0. Fresh count &gt; 0 at the end -&gt; -1.</t>
        </is>
      </c>
      <c r="S81" s="38" t="inlineStr">
        <is>
          <t>01 Matrix (LC 542). Walls and Gates.</t>
        </is>
      </c>
      <c r="T81" s="39" t="inlineStr">
        <is>
          <t>Not Started</t>
        </is>
      </c>
      <c r="U81" s="40" t="n"/>
      <c r="V81" s="39" t="n"/>
      <c r="W81" s="39" t="n"/>
      <c r="X81" s="41">
        <f>IF(U81&lt;&gt;"",U81+7,C81+7)</f>
        <v/>
      </c>
      <c r="Y81" s="42" t="n"/>
    </row>
    <row r="82" ht="105" customHeight="1">
      <c r="A82" s="96" t="n">
        <v>73</v>
      </c>
      <c r="B82" s="97" t="n">
        <v>11</v>
      </c>
      <c r="C82" s="98">
        <f>Dashboard!$C$5+A82-1</f>
        <v/>
      </c>
      <c r="D82" s="99" t="inlineStr">
        <is>
          <t>Graphs (BFS / DFS)</t>
        </is>
      </c>
      <c r="E82" s="97" t="inlineStr">
        <is>
          <t>Main</t>
        </is>
      </c>
      <c r="F82" s="100" t="inlineStr">
        <is>
          <t>Is Graph Bipartite?</t>
        </is>
      </c>
      <c r="G82" s="97" t="inlineStr">
        <is>
          <t>LeetCode</t>
        </is>
      </c>
      <c r="H82" s="97" t="n">
        <v>785</v>
      </c>
      <c r="I82" s="101" t="inlineStr">
        <is>
          <t>Open</t>
        </is>
      </c>
      <c r="J82" s="97" t="inlineStr">
        <is>
          <t>Medium</t>
        </is>
      </c>
      <c r="K82" s="99" t="inlineStr">
        <is>
          <t>Sheet P12 #7</t>
        </is>
      </c>
      <c r="L82" s="99" t="inlineStr">
        <is>
          <t>BFS / DFS 2-Colouring</t>
        </is>
      </c>
      <c r="M82" s="38" t="inlineStr">
        <is>
          <t>Return true if nodes can be split into two sets such that every edge connects nodes in different sets.</t>
        </is>
      </c>
      <c r="N82" s="38" t="inlineStr">
        <is>
          <t>-</t>
        </is>
      </c>
      <c r="O82" s="38" t="inlineStr">
        <is>
          <t>Colour each uncoloured node 0, BFS; neighbours get the opposite colour. Same colour on an edge -&gt; not bipartite.</t>
        </is>
      </c>
      <c r="P82" s="38" t="inlineStr">
        <is>
          <t>O(V + E)</t>
        </is>
      </c>
      <c r="Q82" s="38" t="inlineStr">
        <is>
          <t>O(V)</t>
        </is>
      </c>
      <c r="R82" s="38" t="inlineStr">
        <is>
          <t>Graph may be disconnected - start BFS from every uncoloured node. Odd cycle = not bipartite.</t>
        </is>
      </c>
      <c r="S82" s="38" t="inlineStr">
        <is>
          <t>Possible Bipartition (LC 886).</t>
        </is>
      </c>
      <c r="T82" s="39" t="inlineStr">
        <is>
          <t>Not Started</t>
        </is>
      </c>
      <c r="U82" s="40" t="n"/>
      <c r="V82" s="39" t="n"/>
      <c r="W82" s="39" t="n"/>
      <c r="X82" s="41">
        <f>IF(U82&lt;&gt;"",U82+7,C82+7)</f>
        <v/>
      </c>
      <c r="Y82" s="42" t="n"/>
    </row>
    <row r="83" ht="105" customHeight="1">
      <c r="A83" s="103" t="n">
        <v>74</v>
      </c>
      <c r="B83" s="104" t="n">
        <v>11</v>
      </c>
      <c r="C83" s="105">
        <f>Dashboard!$C$5+A83-1</f>
        <v/>
      </c>
      <c r="D83" s="106" t="inlineStr">
        <is>
          <t>Graph Algorithms</t>
        </is>
      </c>
      <c r="E83" s="104" t="inlineStr">
        <is>
          <t>Main</t>
        </is>
      </c>
      <c r="F83" s="107" t="inlineStr">
        <is>
          <t>Shortest Path in Binary Matrix</t>
        </is>
      </c>
      <c r="G83" s="104" t="inlineStr">
        <is>
          <t>LeetCode</t>
        </is>
      </c>
      <c r="H83" s="104" t="n">
        <v>1091</v>
      </c>
      <c r="I83" s="108" t="inlineStr">
        <is>
          <t>Open</t>
        </is>
      </c>
      <c r="J83" s="104" t="inlineStr">
        <is>
          <t>Medium</t>
        </is>
      </c>
      <c r="K83" s="106" t="inlineStr">
        <is>
          <t>Sheet P12 #1</t>
        </is>
      </c>
      <c r="L83" s="106" t="inlineStr">
        <is>
          <t>BFS (unweighted shortest path)</t>
        </is>
      </c>
      <c r="M83" s="38" t="inlineStr">
        <is>
          <t>Return the length of the shortest clear path from top-left to bottom-right (8 directions), or -1.</t>
        </is>
      </c>
      <c r="N83" s="38" t="inlineStr">
        <is>
          <t>DFS all paths -&gt; exponential.</t>
        </is>
      </c>
      <c r="O83" s="38" t="inlineStr">
        <is>
          <t>BFS from (0,0) with distance 1; the first time you reach the target is the shortest.</t>
        </is>
      </c>
      <c r="P83" s="38" t="inlineStr">
        <is>
          <t>O(n^2)</t>
        </is>
      </c>
      <c r="Q83" s="38" t="inlineStr">
        <is>
          <t>O(n^2)</t>
        </is>
      </c>
      <c r="R83" s="38" t="inlineStr">
        <is>
          <t>Check start and end cells are 0. Mark visited when ENQUEUING, not when popping.</t>
        </is>
      </c>
      <c r="S83" s="38" t="inlineStr">
        <is>
          <t>Why BFS works only for unweighted graphs.</t>
        </is>
      </c>
      <c r="T83" s="39" t="inlineStr">
        <is>
          <t>Not Started</t>
        </is>
      </c>
      <c r="U83" s="40" t="n"/>
      <c r="V83" s="39" t="n"/>
      <c r="W83" s="39" t="n"/>
      <c r="X83" s="41">
        <f>IF(U83&lt;&gt;"",U83+7,C83+7)</f>
        <v/>
      </c>
      <c r="Y83" s="42" t="n"/>
    </row>
    <row r="84" ht="105" customHeight="1">
      <c r="A84" s="103" t="n">
        <v>75</v>
      </c>
      <c r="B84" s="104" t="n">
        <v>11</v>
      </c>
      <c r="C84" s="105">
        <f>Dashboard!$C$5+A84-1</f>
        <v/>
      </c>
      <c r="D84" s="106" t="inlineStr">
        <is>
          <t>Graph Algorithms</t>
        </is>
      </c>
      <c r="E84" s="104" t="inlineStr">
        <is>
          <t>Main</t>
        </is>
      </c>
      <c r="F84" s="107" t="inlineStr">
        <is>
          <t>Network Delay Time (Dijkstra)</t>
        </is>
      </c>
      <c r="G84" s="104" t="inlineStr">
        <is>
          <t>LeetCode</t>
        </is>
      </c>
      <c r="H84" s="104" t="n">
        <v>743</v>
      </c>
      <c r="I84" s="108" t="inlineStr">
        <is>
          <t>Open</t>
        </is>
      </c>
      <c r="J84" s="104" t="inlineStr">
        <is>
          <t>Medium</t>
        </is>
      </c>
      <c r="K84" s="106" t="inlineStr">
        <is>
          <t>Sheet P10 #6 / P12 #2</t>
        </is>
      </c>
      <c r="L84" s="106" t="inlineStr">
        <is>
          <t>Dijkstra's Algorithm</t>
        </is>
      </c>
      <c r="M84" s="38" t="inlineStr">
        <is>
          <t>Signal is sent from node k over weighted directed edges. Return the time for all nodes to receive it, or -1.</t>
        </is>
      </c>
      <c r="N84" s="38" t="inlineStr">
        <is>
          <t>Bellman-Ford O(V*E).</t>
        </is>
      </c>
      <c r="O84" s="38" t="inlineStr">
        <is>
          <t>Min heap of (dist, node). Pop smallest; skip if stale; relax neighbours. Answer = max distance (or -1 if unreachable).</t>
        </is>
      </c>
      <c r="P84" s="38" t="inlineStr">
        <is>
          <t>O((V + E) log V)</t>
        </is>
      </c>
      <c r="Q84" s="38" t="inlineStr">
        <is>
          <t>O(V + E)</t>
        </is>
      </c>
      <c r="R84" s="38" t="inlineStr">
        <is>
          <t>Only works for NON-NEGATIVE weights. Skip stale heap entries (d &gt; dist[node]).</t>
        </is>
      </c>
      <c r="S84" s="38" t="inlineStr">
        <is>
          <t>Path With Minimum Effort (LC 1631).</t>
        </is>
      </c>
      <c r="T84" s="39" t="inlineStr">
        <is>
          <t>Not Started</t>
        </is>
      </c>
      <c r="U84" s="40" t="n"/>
      <c r="V84" s="39" t="n"/>
      <c r="W84" s="39" t="n"/>
      <c r="X84" s="41">
        <f>IF(U84&lt;&gt;"",U84+7,C84+7)</f>
        <v/>
      </c>
      <c r="Y84" s="42" t="n"/>
    </row>
    <row r="85" ht="105" customHeight="1">
      <c r="A85" s="103" t="n">
        <v>76</v>
      </c>
      <c r="B85" s="104" t="n">
        <v>11</v>
      </c>
      <c r="C85" s="105">
        <f>Dashboard!$C$5+A85-1</f>
        <v/>
      </c>
      <c r="D85" s="106" t="inlineStr">
        <is>
          <t>Graph Algorithms</t>
        </is>
      </c>
      <c r="E85" s="104" t="inlineStr">
        <is>
          <t>Main</t>
        </is>
      </c>
      <c r="F85" s="107" t="inlineStr">
        <is>
          <t>Bellman-Ford / Detect Negative Cycle</t>
        </is>
      </c>
      <c r="G85" s="104" t="inlineStr">
        <is>
          <t>GFG</t>
        </is>
      </c>
      <c r="H85" s="104" t="inlineStr">
        <is>
          <t>-</t>
        </is>
      </c>
      <c r="I85" s="108" t="inlineStr">
        <is>
          <t>Open</t>
        </is>
      </c>
      <c r="J85" s="104" t="inlineStr">
        <is>
          <t>Medium</t>
        </is>
      </c>
      <c r="K85" s="106" t="inlineStr">
        <is>
          <t>Sheet P12 #3 (sheet says LC 209 - wrong)</t>
        </is>
      </c>
      <c r="L85" s="106" t="inlineStr">
        <is>
          <t>Bellman-Ford</t>
        </is>
      </c>
      <c r="M85" s="38" t="inlineStr">
        <is>
          <t>Find shortest distances from a source in a graph that may have negative weights; report if a negative cycle exists.</t>
        </is>
      </c>
      <c r="N85" s="38" t="inlineStr">
        <is>
          <t>-</t>
        </is>
      </c>
      <c r="O85" s="38" t="inlineStr">
        <is>
          <t>dist[src]=0. Relax ALL edges V-1 times. If any edge still relaxes on the V-th pass -&gt; negative cycle.</t>
        </is>
      </c>
      <c r="P85" s="38" t="inlineStr">
        <is>
          <t>O(V * E)</t>
        </is>
      </c>
      <c r="Q85" s="38" t="inlineStr">
        <is>
          <t>O(V)</t>
        </is>
      </c>
      <c r="R85" s="38" t="inlineStr">
        <is>
          <t>Skip relaxing from nodes whose dist is still infinity.</t>
        </is>
      </c>
      <c r="S85" s="38" t="inlineStr">
        <is>
          <t>Cheapest Flights Within K Stops (bonus LC 787) = Bellman-Ford limited to K+1 rounds.</t>
        </is>
      </c>
      <c r="T85" s="39" t="inlineStr">
        <is>
          <t>Not Started</t>
        </is>
      </c>
      <c r="U85" s="40" t="n"/>
      <c r="V85" s="39" t="n"/>
      <c r="W85" s="39" t="n"/>
      <c r="X85" s="41">
        <f>IF(U85&lt;&gt;"",U85+7,C85+7)</f>
        <v/>
      </c>
      <c r="Y85" s="42" t="n"/>
    </row>
    <row r="86" ht="105" customHeight="1">
      <c r="A86" s="103" t="n">
        <v>76</v>
      </c>
      <c r="B86" s="104" t="n">
        <v>11</v>
      </c>
      <c r="C86" s="105">
        <f>Dashboard!$C$5+A86-1</f>
        <v/>
      </c>
      <c r="D86" s="106" t="inlineStr">
        <is>
          <t>Graph Algorithms</t>
        </is>
      </c>
      <c r="E86" s="104" t="inlineStr">
        <is>
          <t>Bonus</t>
        </is>
      </c>
      <c r="F86" s="109" t="inlineStr">
        <is>
          <t>Cheapest Flights Within K Stops</t>
        </is>
      </c>
      <c r="G86" s="104" t="inlineStr">
        <is>
          <t>LeetCode</t>
        </is>
      </c>
      <c r="H86" s="104" t="n">
        <v>787</v>
      </c>
      <c r="I86" s="108" t="inlineStr">
        <is>
          <t>Open</t>
        </is>
      </c>
      <c r="J86" s="104" t="inlineStr">
        <is>
          <t>Medium</t>
        </is>
      </c>
      <c r="K86" s="106" t="inlineStr">
        <is>
          <t>Added</t>
        </is>
      </c>
      <c r="L86" s="106" t="inlineStr">
        <is>
          <t>Bellman-Ford (K rounds) / BFS</t>
        </is>
      </c>
      <c r="M86" s="38" t="inlineStr">
        <is>
          <t>Find the cheapest price from src to dst with at most k stops.</t>
        </is>
      </c>
      <c r="N86" s="38" t="inlineStr">
        <is>
          <t>-</t>
        </is>
      </c>
      <c r="O86" s="38" t="inlineStr">
        <is>
          <t>Run K+1 rounds of edge relaxation, copying the dist array each round.</t>
        </is>
      </c>
      <c r="P86" s="38" t="inlineStr">
        <is>
          <t>O(K * E)</t>
        </is>
      </c>
      <c r="Q86" s="38" t="inlineStr">
        <is>
          <t>O(V)</t>
        </is>
      </c>
      <c r="R86" s="38" t="inlineStr">
        <is>
          <t>Copy the previous round's distances, otherwise you may use more than K stops.</t>
        </is>
      </c>
      <c r="S86" s="38" t="inlineStr"/>
      <c r="T86" s="39" t="inlineStr">
        <is>
          <t>Not Started</t>
        </is>
      </c>
      <c r="U86" s="40" t="n"/>
      <c r="V86" s="39" t="n"/>
      <c r="W86" s="39" t="n"/>
      <c r="X86" s="41">
        <f>IF(U86&lt;&gt;"",U86+7,C86+7)</f>
        <v/>
      </c>
      <c r="Y86" s="42" t="n"/>
    </row>
    <row r="87" ht="105" customHeight="1">
      <c r="A87" s="103" t="n">
        <v>77</v>
      </c>
      <c r="B87" s="104" t="n">
        <v>11</v>
      </c>
      <c r="C87" s="105">
        <f>Dashboard!$C$5+A87-1</f>
        <v/>
      </c>
      <c r="D87" s="106" t="inlineStr">
        <is>
          <t>Graph Algorithms</t>
        </is>
      </c>
      <c r="E87" s="104" t="inlineStr">
        <is>
          <t>Main</t>
        </is>
      </c>
      <c r="F87" s="107" t="inlineStr">
        <is>
          <t>Min Cost to Connect All Points (MST)</t>
        </is>
      </c>
      <c r="G87" s="104" t="inlineStr">
        <is>
          <t>LeetCode</t>
        </is>
      </c>
      <c r="H87" s="104" t="n">
        <v>1584</v>
      </c>
      <c r="I87" s="108" t="inlineStr">
        <is>
          <t>Open</t>
        </is>
      </c>
      <c r="J87" s="104" t="inlineStr">
        <is>
          <t>Medium</t>
        </is>
      </c>
      <c r="K87" s="106" t="inlineStr">
        <is>
          <t>Sheet P10 #5 / P12 #6</t>
        </is>
      </c>
      <c r="L87" s="106" t="inlineStr">
        <is>
          <t>Prim's / Kruskal's MST</t>
        </is>
      </c>
      <c r="M87" s="38" t="inlineStr">
        <is>
          <t>Connect all points with minimum total Manhattan distance.</t>
        </is>
      </c>
      <c r="N87" s="38" t="inlineStr">
        <is>
          <t>-</t>
        </is>
      </c>
      <c r="O87" s="38" t="inlineStr">
        <is>
          <t>Prim's: start from any point, repeatedly add the cheapest edge to an unvisited point (min heap or O(n^2) array). Kruskal's: sort edges + DSU.</t>
        </is>
      </c>
      <c r="P87" s="38" t="inlineStr">
        <is>
          <t>O(n^2) (Prim, dense) / O(E log E) (Kruskal)</t>
        </is>
      </c>
      <c r="Q87" s="38" t="inlineStr">
        <is>
          <t>O(n)</t>
        </is>
      </c>
      <c r="R87" s="38" t="inlineStr">
        <is>
          <t>Dense complete graph -&gt; O(n^2) Prim is best. MST has exactly V-1 edges.</t>
        </is>
      </c>
      <c r="S87" s="38" t="inlineStr">
        <is>
          <t>Explain Prim vs Kruskal differences.</t>
        </is>
      </c>
      <c r="T87" s="39" t="inlineStr">
        <is>
          <t>Not Started</t>
        </is>
      </c>
      <c r="U87" s="40" t="n"/>
      <c r="V87" s="39" t="n"/>
      <c r="W87" s="39" t="n"/>
      <c r="X87" s="41">
        <f>IF(U87&lt;&gt;"",U87+7,C87+7)</f>
        <v/>
      </c>
      <c r="Y87" s="42" t="n"/>
    </row>
    <row r="88" ht="105" customHeight="1">
      <c r="A88" s="103" t="n">
        <v>78</v>
      </c>
      <c r="B88" s="104" t="n">
        <v>12</v>
      </c>
      <c r="C88" s="105">
        <f>Dashboard!$C$5+A88-1</f>
        <v/>
      </c>
      <c r="D88" s="106" t="inlineStr">
        <is>
          <t>Graph Algorithms</t>
        </is>
      </c>
      <c r="E88" s="104" t="inlineStr">
        <is>
          <t>Main</t>
        </is>
      </c>
      <c r="F88" s="107" t="inlineStr">
        <is>
          <t>Redundant Connection</t>
        </is>
      </c>
      <c r="G88" s="104" t="inlineStr">
        <is>
          <t>LeetCode</t>
        </is>
      </c>
      <c r="H88" s="104" t="n">
        <v>684</v>
      </c>
      <c r="I88" s="108" t="inlineStr">
        <is>
          <t>Open</t>
        </is>
      </c>
      <c r="J88" s="104" t="inlineStr">
        <is>
          <t>Medium</t>
        </is>
      </c>
      <c r="K88" s="106" t="inlineStr">
        <is>
          <t>Added (Union-Find practice)</t>
        </is>
      </c>
      <c r="L88" s="106" t="inlineStr">
        <is>
          <t>Disjoint Set Union</t>
        </is>
      </c>
      <c r="M88" s="38" t="inlineStr">
        <is>
          <t>A tree with one extra edge added; return the edge that can be removed to make it a tree.</t>
        </is>
      </c>
      <c r="N88" s="38" t="inlineStr">
        <is>
          <t>Remove each edge and check connectivity -&gt; O(E^2).</t>
        </is>
      </c>
      <c r="O88" s="38" t="inlineStr">
        <is>
          <t>Process edges with DSU; the first edge whose endpoints already share a root is the answer.</t>
        </is>
      </c>
      <c r="P88" s="38" t="inlineStr">
        <is>
          <t>O(E * alpha(V))</t>
        </is>
      </c>
      <c r="Q88" s="38" t="inlineStr">
        <is>
          <t>O(V)</t>
        </is>
      </c>
      <c r="R88" s="38" t="inlineStr">
        <is>
          <t>Path compression + union by rank make DSU nearly O(1).</t>
        </is>
      </c>
      <c r="S88" s="38" t="inlineStr"/>
      <c r="T88" s="39" t="inlineStr">
        <is>
          <t>Not Started</t>
        </is>
      </c>
      <c r="U88" s="40" t="n"/>
      <c r="V88" s="39" t="n"/>
      <c r="W88" s="39" t="n"/>
      <c r="X88" s="41">
        <f>IF(U88&lt;&gt;"",U88+7,C88+7)</f>
        <v/>
      </c>
      <c r="Y88" s="42" t="n"/>
    </row>
    <row r="89" ht="105" customHeight="1">
      <c r="A89" s="103" t="n">
        <v>79</v>
      </c>
      <c r="B89" s="104" t="n">
        <v>12</v>
      </c>
      <c r="C89" s="105">
        <f>Dashboard!$C$5+A89-1</f>
        <v/>
      </c>
      <c r="D89" s="106" t="inlineStr">
        <is>
          <t>Graph Algorithms</t>
        </is>
      </c>
      <c r="E89" s="104" t="inlineStr">
        <is>
          <t>Main</t>
        </is>
      </c>
      <c r="F89" s="107" t="inlineStr">
        <is>
          <t>Critical Connections in a Network (Bridges)</t>
        </is>
      </c>
      <c r="G89" s="104" t="inlineStr">
        <is>
          <t>LeetCode</t>
        </is>
      </c>
      <c r="H89" s="104" t="n">
        <v>1192</v>
      </c>
      <c r="I89" s="108" t="inlineStr">
        <is>
          <t>Open</t>
        </is>
      </c>
      <c r="J89" s="104" t="inlineStr">
        <is>
          <t>Hard</t>
        </is>
      </c>
      <c r="K89" s="106" t="inlineStr">
        <is>
          <t>Sheet P12 #4</t>
        </is>
      </c>
      <c r="L89" s="106" t="inlineStr">
        <is>
          <t>Tarjan's Algorithm</t>
        </is>
      </c>
      <c r="M89" s="38" t="inlineStr">
        <is>
          <t>Return all edges whose removal disconnects the network (bridges).</t>
        </is>
      </c>
      <c r="N89" s="38" t="inlineStr">
        <is>
          <t>Remove each edge and run DFS -&gt; O(E*(V+E)).</t>
        </is>
      </c>
      <c r="O89" s="38" t="inlineStr">
        <is>
          <t>DFS assigning disc[] and low[]. For child v of u: low[u] = min(low[u], low[v]); if low[v] &gt; disc[u], (u,v) is a bridge. Back edge: low[u] = min(low[u], disc[v]).</t>
        </is>
      </c>
      <c r="P89" s="38" t="inlineStr">
        <is>
          <t>O(V + E)</t>
        </is>
      </c>
      <c r="Q89" s="38" t="inlineStr">
        <is>
          <t>O(V + E)</t>
        </is>
      </c>
      <c r="R89" s="38" t="inlineStr">
        <is>
          <t>Skip the parent edge when updating low. Bridge condition uses STRICT '&gt;'.</t>
        </is>
      </c>
      <c r="S89" s="38" t="inlineStr"/>
      <c r="T89" s="39" t="inlineStr">
        <is>
          <t>Not Started</t>
        </is>
      </c>
      <c r="U89" s="40" t="n"/>
      <c r="V89" s="39" t="n"/>
      <c r="W89" s="39" t="n"/>
      <c r="X89" s="41">
        <f>IF(U89&lt;&gt;"",U89+7,C89+7)</f>
        <v/>
      </c>
      <c r="Y89" s="42" t="n"/>
    </row>
    <row r="90" ht="105" customHeight="1">
      <c r="A90" s="103" t="n">
        <v>80</v>
      </c>
      <c r="B90" s="104" t="n">
        <v>12</v>
      </c>
      <c r="C90" s="105">
        <f>Dashboard!$C$5+A90-1</f>
        <v/>
      </c>
      <c r="D90" s="106" t="inlineStr">
        <is>
          <t>Graph Algorithms</t>
        </is>
      </c>
      <c r="E90" s="104" t="inlineStr">
        <is>
          <t>Main</t>
        </is>
      </c>
      <c r="F90" s="107" t="inlineStr">
        <is>
          <t>Articulation Points</t>
        </is>
      </c>
      <c r="G90" s="104" t="inlineStr">
        <is>
          <t>GFG</t>
        </is>
      </c>
      <c r="H90" s="104" t="inlineStr">
        <is>
          <t>-</t>
        </is>
      </c>
      <c r="I90" s="108" t="inlineStr">
        <is>
          <t>Open</t>
        </is>
      </c>
      <c r="J90" s="104" t="inlineStr">
        <is>
          <t>Hard</t>
        </is>
      </c>
      <c r="K90" s="106" t="inlineStr">
        <is>
          <t>Sheet P12 #5 (sheet says LC 1125 - wrong)</t>
        </is>
      </c>
      <c r="L90" s="106" t="inlineStr">
        <is>
          <t>Tarjan's Algorithm</t>
        </is>
      </c>
      <c r="M90" s="38" t="inlineStr">
        <is>
          <t>Return all vertices whose removal increases the number of connected components.</t>
        </is>
      </c>
      <c r="N90" s="38" t="inlineStr">
        <is>
          <t>Remove each vertex and count components -&gt; O(V*(V+E)).</t>
        </is>
      </c>
      <c r="O90" s="38" t="inlineStr">
        <is>
          <t>Same disc/low DFS. Non-root u is an articulation point if some child v has low[v] &gt;= disc[u]. Root is one if it has &gt; 1 DFS child.</t>
        </is>
      </c>
      <c r="P90" s="38" t="inlineStr">
        <is>
          <t>O(V + E)</t>
        </is>
      </c>
      <c r="Q90" s="38" t="inlineStr">
        <is>
          <t>O(V)</t>
        </is>
      </c>
      <c r="R90" s="38" t="inlineStr">
        <is>
          <t>Articulation uses '&gt;=' ; bridges use '&gt;'. Root is a special case.</t>
        </is>
      </c>
      <c r="S90" s="38" t="inlineStr"/>
      <c r="T90" s="39" t="inlineStr">
        <is>
          <t>Not Started</t>
        </is>
      </c>
      <c r="U90" s="40" t="n"/>
      <c r="V90" s="39" t="n"/>
      <c r="W90" s="39" t="n"/>
      <c r="X90" s="41">
        <f>IF(U90&lt;&gt;"",U90+7,C90+7)</f>
        <v/>
      </c>
      <c r="Y90" s="42" t="n"/>
    </row>
    <row r="91" ht="105" customHeight="1">
      <c r="A91" s="110" t="n">
        <v>81</v>
      </c>
      <c r="B91" s="111" t="n">
        <v>12</v>
      </c>
      <c r="C91" s="112">
        <f>Dashboard!$C$5+A91-1</f>
        <v/>
      </c>
      <c r="D91" s="113" t="inlineStr">
        <is>
          <t>Greedy</t>
        </is>
      </c>
      <c r="E91" s="111" t="inlineStr">
        <is>
          <t>Main</t>
        </is>
      </c>
      <c r="F91" s="114" t="inlineStr">
        <is>
          <t>Activity Selection / N Meetings in One Room</t>
        </is>
      </c>
      <c r="G91" s="111" t="inlineStr">
        <is>
          <t>GFG</t>
        </is>
      </c>
      <c r="H91" s="111" t="inlineStr">
        <is>
          <t>-</t>
        </is>
      </c>
      <c r="I91" s="115" t="inlineStr">
        <is>
          <t>Open</t>
        </is>
      </c>
      <c r="J91" s="111" t="inlineStr">
        <is>
          <t>Easy</t>
        </is>
      </c>
      <c r="K91" s="113" t="inlineStr">
        <is>
          <t>Sheet P13 #1</t>
        </is>
      </c>
      <c r="L91" s="113" t="inlineStr">
        <is>
          <t>Greedy (sort by end time)</t>
        </is>
      </c>
      <c r="M91" s="38" t="inlineStr">
        <is>
          <t>Given start and end times, select the maximum number of non-overlapping activities.</t>
        </is>
      </c>
      <c r="N91" s="38" t="inlineStr">
        <is>
          <t>Try all subsets -&gt; O(2^n).</t>
        </is>
      </c>
      <c r="O91" s="38" t="inlineStr">
        <is>
          <t>Sort by END time. Pick the first; then pick each next activity whose start &gt;= last picked end (strict &gt; if endpoints can't touch).</t>
        </is>
      </c>
      <c r="P91" s="38" t="inlineStr">
        <is>
          <t>O(n log n)</t>
        </is>
      </c>
      <c r="Q91" s="38" t="inlineStr">
        <is>
          <t>O(1)</t>
        </is>
      </c>
      <c r="R91" s="38" t="inlineStr">
        <is>
          <t>Sorting by end time (not start or duration) is what makes greedy correct.</t>
        </is>
      </c>
      <c r="S91" s="38" t="inlineStr">
        <is>
          <t>Non-overlapping Intervals (bonus LC 435) = n - maxActivities.</t>
        </is>
      </c>
      <c r="T91" s="39" t="inlineStr">
        <is>
          <t>Not Started</t>
        </is>
      </c>
      <c r="U91" s="40" t="n"/>
      <c r="V91" s="39" t="n"/>
      <c r="W91" s="39" t="n"/>
      <c r="X91" s="41">
        <f>IF(U91&lt;&gt;"",U91+7,C91+7)</f>
        <v/>
      </c>
      <c r="Y91" s="42" t="n"/>
    </row>
    <row r="92" ht="105" customHeight="1">
      <c r="A92" s="110" t="n">
        <v>81</v>
      </c>
      <c r="B92" s="111" t="n">
        <v>12</v>
      </c>
      <c r="C92" s="112">
        <f>Dashboard!$C$5+A92-1</f>
        <v/>
      </c>
      <c r="D92" s="113" t="inlineStr">
        <is>
          <t>Greedy</t>
        </is>
      </c>
      <c r="E92" s="111" t="inlineStr">
        <is>
          <t>Bonus</t>
        </is>
      </c>
      <c r="F92" s="116" t="inlineStr">
        <is>
          <t>Non-overlapping Intervals</t>
        </is>
      </c>
      <c r="G92" s="111" t="inlineStr">
        <is>
          <t>LeetCode</t>
        </is>
      </c>
      <c r="H92" s="111" t="n">
        <v>435</v>
      </c>
      <c r="I92" s="115" t="inlineStr">
        <is>
          <t>Open</t>
        </is>
      </c>
      <c r="J92" s="111" t="inlineStr">
        <is>
          <t>Medium</t>
        </is>
      </c>
      <c r="K92" s="113" t="inlineStr">
        <is>
          <t>Sheet P13 #1 (LC 435)</t>
        </is>
      </c>
      <c r="L92" s="113" t="inlineStr">
        <is>
          <t>Greedy (sort by end)</t>
        </is>
      </c>
      <c r="M92" s="38" t="inlineStr">
        <is>
          <t>Return the minimum number of intervals to remove so the rest are non-overlapping.</t>
        </is>
      </c>
      <c r="N92" s="38" t="inlineStr">
        <is>
          <t>-</t>
        </is>
      </c>
      <c r="O92" s="38" t="inlineStr">
        <is>
          <t>Sort by end; count kept intervals greedily; answer = n - kept.</t>
        </is>
      </c>
      <c r="P92" s="38" t="inlineStr">
        <is>
          <t>O(n log n)</t>
        </is>
      </c>
      <c r="Q92" s="38" t="inlineStr">
        <is>
          <t>O(1)</t>
        </is>
      </c>
      <c r="R92" s="38" t="inlineStr">
        <is>
          <t>Touching intervals [1,2],[2,3] do NOT overlap here.</t>
        </is>
      </c>
      <c r="S92" s="38" t="inlineStr"/>
      <c r="T92" s="39" t="inlineStr">
        <is>
          <t>Not Started</t>
        </is>
      </c>
      <c r="U92" s="40" t="n"/>
      <c r="V92" s="39" t="n"/>
      <c r="W92" s="39" t="n"/>
      <c r="X92" s="41">
        <f>IF(U92&lt;&gt;"",U92+7,C92+7)</f>
        <v/>
      </c>
      <c r="Y92" s="42" t="n"/>
    </row>
    <row r="93" ht="105" customHeight="1">
      <c r="A93" s="110" t="n">
        <v>82</v>
      </c>
      <c r="B93" s="111" t="n">
        <v>12</v>
      </c>
      <c r="C93" s="112">
        <f>Dashboard!$C$5+A93-1</f>
        <v/>
      </c>
      <c r="D93" s="113" t="inlineStr">
        <is>
          <t>Greedy</t>
        </is>
      </c>
      <c r="E93" s="111" t="inlineStr">
        <is>
          <t>Main</t>
        </is>
      </c>
      <c r="F93" s="114" t="inlineStr">
        <is>
          <t>Fractional Knapsack</t>
        </is>
      </c>
      <c r="G93" s="111" t="inlineStr">
        <is>
          <t>GFG</t>
        </is>
      </c>
      <c r="H93" s="111" t="inlineStr">
        <is>
          <t>-</t>
        </is>
      </c>
      <c r="I93" s="115" t="inlineStr">
        <is>
          <t>Open</t>
        </is>
      </c>
      <c r="J93" s="111" t="inlineStr">
        <is>
          <t>Medium</t>
        </is>
      </c>
      <c r="K93" s="113" t="inlineStr">
        <is>
          <t>Sheet P13 #2 (sheet says LC 1029 - wrong)</t>
        </is>
      </c>
      <c r="L93" s="113" t="inlineStr">
        <is>
          <t>Greedy (value/weight ratio)</t>
        </is>
      </c>
      <c r="M93" s="38" t="inlineStr">
        <is>
          <t>Items have value and weight; you may take fractions. Maximise value within capacity W.</t>
        </is>
      </c>
      <c r="N93" s="38" t="inlineStr">
        <is>
          <t>-</t>
        </is>
      </c>
      <c r="O93" s="38" t="inlineStr">
        <is>
          <t>Sort by value/weight descending. Take whole items while they fit; take a fraction of the next one; stop.</t>
        </is>
      </c>
      <c r="P93" s="38" t="inlineStr">
        <is>
          <t>O(n log n)</t>
        </is>
      </c>
      <c r="Q93" s="38" t="inlineStr">
        <is>
          <t>O(1)</t>
        </is>
      </c>
      <c r="R93" s="38" t="inlineStr">
        <is>
          <t>Sheet example: W=50 -&gt; 60 + 100 + 80 = 240. Greedy works ONLY for fractional; 0/1 knapsack needs DP (Day 93).</t>
        </is>
      </c>
      <c r="S93" s="38" t="inlineStr">
        <is>
          <t>Why greedy fails for 0/1 knapsack.</t>
        </is>
      </c>
      <c r="T93" s="39" t="inlineStr">
        <is>
          <t>Not Started</t>
        </is>
      </c>
      <c r="U93" s="40" t="n"/>
      <c r="V93" s="39" t="n"/>
      <c r="W93" s="39" t="n"/>
      <c r="X93" s="41">
        <f>IF(U93&lt;&gt;"",U93+7,C93+7)</f>
        <v/>
      </c>
      <c r="Y93" s="42" t="n"/>
    </row>
    <row r="94" ht="105" customHeight="1">
      <c r="A94" s="110" t="n">
        <v>83</v>
      </c>
      <c r="B94" s="111" t="n">
        <v>12</v>
      </c>
      <c r="C94" s="112">
        <f>Dashboard!$C$5+A94-1</f>
        <v/>
      </c>
      <c r="D94" s="113" t="inlineStr">
        <is>
          <t>Greedy</t>
        </is>
      </c>
      <c r="E94" s="111" t="inlineStr">
        <is>
          <t>Main</t>
        </is>
      </c>
      <c r="F94" s="114" t="inlineStr">
        <is>
          <t>Merge Intervals</t>
        </is>
      </c>
      <c r="G94" s="111" t="inlineStr">
        <is>
          <t>LeetCode</t>
        </is>
      </c>
      <c r="H94" s="111" t="n">
        <v>56</v>
      </c>
      <c r="I94" s="115" t="inlineStr">
        <is>
          <t>Open</t>
        </is>
      </c>
      <c r="J94" s="111" t="inlineStr">
        <is>
          <t>Medium</t>
        </is>
      </c>
      <c r="K94" s="113" t="inlineStr">
        <is>
          <t>Sheet P13 #5</t>
        </is>
      </c>
      <c r="L94" s="113" t="inlineStr">
        <is>
          <t>Sort by start + merge</t>
        </is>
      </c>
      <c r="M94" s="38" t="inlineStr">
        <is>
          <t>Merge all overlapping intervals.</t>
        </is>
      </c>
      <c r="N94" s="38" t="inlineStr">
        <is>
          <t>Compare every pair repeatedly -&gt; O(n^2).</t>
        </is>
      </c>
      <c r="O94" s="38" t="inlineStr">
        <is>
          <t>Sort by start. If current.start &lt;= last.end, last.end = max(last.end, current.end); else push current.</t>
        </is>
      </c>
      <c r="P94" s="38" t="inlineStr">
        <is>
          <t>O(n log n)</t>
        </is>
      </c>
      <c r="Q94" s="38" t="inlineStr">
        <is>
          <t>O(n)</t>
        </is>
      </c>
      <c r="R94" s="38" t="inlineStr">
        <is>
          <t>Use max() for the end - an interval can be fully contained. Example: [1,3],[2,6],[8,10],[15,18] -&gt; [1,6],[8,10],[15,18].</t>
        </is>
      </c>
      <c r="S94" s="38" t="inlineStr">
        <is>
          <t>Insert Interval (LC 57). Meeting Rooms II (LC 253).</t>
        </is>
      </c>
      <c r="T94" s="39" t="inlineStr">
        <is>
          <t>Not Started</t>
        </is>
      </c>
      <c r="U94" s="40" t="n"/>
      <c r="V94" s="39" t="n"/>
      <c r="W94" s="39" t="n"/>
      <c r="X94" s="41">
        <f>IF(U94&lt;&gt;"",U94+7,C94+7)</f>
        <v/>
      </c>
      <c r="Y94" s="42" t="n"/>
    </row>
    <row r="95" ht="105" customHeight="1">
      <c r="A95" s="110" t="n">
        <v>84</v>
      </c>
      <c r="B95" s="111" t="n">
        <v>12</v>
      </c>
      <c r="C95" s="112">
        <f>Dashboard!$C$5+A95-1</f>
        <v/>
      </c>
      <c r="D95" s="113" t="inlineStr">
        <is>
          <t>Greedy</t>
        </is>
      </c>
      <c r="E95" s="111" t="inlineStr">
        <is>
          <t>Main</t>
        </is>
      </c>
      <c r="F95" s="114" t="inlineStr">
        <is>
          <t>Jump Game II</t>
        </is>
      </c>
      <c r="G95" s="111" t="inlineStr">
        <is>
          <t>LeetCode</t>
        </is>
      </c>
      <c r="H95" s="111" t="n">
        <v>45</v>
      </c>
      <c r="I95" s="115" t="inlineStr">
        <is>
          <t>Open</t>
        </is>
      </c>
      <c r="J95" s="111" t="inlineStr">
        <is>
          <t>Medium</t>
        </is>
      </c>
      <c r="K95" s="113" t="inlineStr">
        <is>
          <t>Sheet P13 #4</t>
        </is>
      </c>
      <c r="L95" s="113" t="inlineStr">
        <is>
          <t>Greedy (BFS levels)</t>
        </is>
      </c>
      <c r="M95" s="38" t="inlineStr">
        <is>
          <t>Return the minimum number of jumps to reach the last index (always reachable).</t>
        </is>
      </c>
      <c r="N95" s="38" t="inlineStr">
        <is>
          <t>DP: for each index try all jumps -&gt; O(n^2).</t>
        </is>
      </c>
      <c r="O95" s="38" t="inlineStr">
        <is>
          <t>Track currentEnd and farthest. For i in 0..n-2: farthest = max(farthest, i+nums[i]); if i == currentEnd: jumps++, currentEnd = farthest.</t>
        </is>
      </c>
      <c r="P95" s="38" t="inlineStr">
        <is>
          <t>O(n)</t>
        </is>
      </c>
      <c r="Q95" s="38" t="inlineStr">
        <is>
          <t>O(1)</t>
        </is>
      </c>
      <c r="R95" s="38" t="inlineStr">
        <is>
          <t>Loop only to n-2 to avoid an extra jump. Example [2,3,1,1,4] -&gt; 2.</t>
        </is>
      </c>
      <c r="S95" s="38" t="inlineStr">
        <is>
          <t>Jump Game (bonus LC 55).</t>
        </is>
      </c>
      <c r="T95" s="39" t="inlineStr">
        <is>
          <t>Not Started</t>
        </is>
      </c>
      <c r="U95" s="40" t="n"/>
      <c r="V95" s="39" t="n"/>
      <c r="W95" s="39" t="n"/>
      <c r="X95" s="41">
        <f>IF(U95&lt;&gt;"",U95+7,C95+7)</f>
        <v/>
      </c>
      <c r="Y95" s="42" t="n"/>
    </row>
    <row r="96" ht="105" customHeight="1">
      <c r="A96" s="110" t="n">
        <v>84</v>
      </c>
      <c r="B96" s="111" t="n">
        <v>12</v>
      </c>
      <c r="C96" s="112">
        <f>Dashboard!$C$5+A96-1</f>
        <v/>
      </c>
      <c r="D96" s="113" t="inlineStr">
        <is>
          <t>Greedy</t>
        </is>
      </c>
      <c r="E96" s="111" t="inlineStr">
        <is>
          <t>Bonus</t>
        </is>
      </c>
      <c r="F96" s="116" t="inlineStr">
        <is>
          <t>Jump Game</t>
        </is>
      </c>
      <c r="G96" s="111" t="inlineStr">
        <is>
          <t>LeetCode</t>
        </is>
      </c>
      <c r="H96" s="111" t="n">
        <v>55</v>
      </c>
      <c r="I96" s="115" t="inlineStr">
        <is>
          <t>Open</t>
        </is>
      </c>
      <c r="J96" s="111" t="inlineStr">
        <is>
          <t>Medium</t>
        </is>
      </c>
      <c r="K96" s="113" t="inlineStr">
        <is>
          <t>Added</t>
        </is>
      </c>
      <c r="L96" s="113" t="inlineStr">
        <is>
          <t>Greedy</t>
        </is>
      </c>
      <c r="M96" s="38" t="inlineStr">
        <is>
          <t>Return true if you can reach the last index.</t>
        </is>
      </c>
      <c r="N96" s="38" t="inlineStr">
        <is>
          <t>-</t>
        </is>
      </c>
      <c r="O96" s="38" t="inlineStr">
        <is>
          <t>Track max reachable; if i &gt; maxReach return false.</t>
        </is>
      </c>
      <c r="P96" s="38" t="inlineStr">
        <is>
          <t>O(n)</t>
        </is>
      </c>
      <c r="Q96" s="38" t="inlineStr">
        <is>
          <t>O(1)</t>
        </is>
      </c>
      <c r="R96" s="38" t="inlineStr"/>
      <c r="S96" s="38" t="inlineStr"/>
      <c r="T96" s="39" t="inlineStr">
        <is>
          <t>Not Started</t>
        </is>
      </c>
      <c r="U96" s="40" t="n"/>
      <c r="V96" s="39" t="n"/>
      <c r="W96" s="39" t="n"/>
      <c r="X96" s="41">
        <f>IF(U96&lt;&gt;"",U96+7,C96+7)</f>
        <v/>
      </c>
      <c r="Y96" s="42" t="n"/>
    </row>
    <row r="97" ht="105" customHeight="1">
      <c r="A97" s="110" t="n">
        <v>85</v>
      </c>
      <c r="B97" s="111" t="n">
        <v>13</v>
      </c>
      <c r="C97" s="112">
        <f>Dashboard!$C$5+A97-1</f>
        <v/>
      </c>
      <c r="D97" s="113" t="inlineStr">
        <is>
          <t>Greedy</t>
        </is>
      </c>
      <c r="E97" s="111" t="inlineStr">
        <is>
          <t>Main</t>
        </is>
      </c>
      <c r="F97" s="114" t="inlineStr">
        <is>
          <t>Minimum Cost of Ropes / Connect Sticks</t>
        </is>
      </c>
      <c r="G97" s="111" t="inlineStr">
        <is>
          <t>LeetCode / GFG</t>
        </is>
      </c>
      <c r="H97" s="111" t="n">
        <v>1167</v>
      </c>
      <c r="I97" s="115" t="inlineStr">
        <is>
          <t>Open</t>
        </is>
      </c>
      <c r="J97" s="111" t="inlineStr">
        <is>
          <t>Easy</t>
        </is>
      </c>
      <c r="K97" s="113" t="inlineStr">
        <is>
          <t>Sheet P13 #6</t>
        </is>
      </c>
      <c r="L97" s="113" t="inlineStr">
        <is>
          <t>Greedy + Min Heap</t>
        </is>
      </c>
      <c r="M97" s="38" t="inlineStr">
        <is>
          <t>Connect all ropes into one; cost of joining two ropes = sum of their lengths. Minimise total cost. (LC 1167 is Premium - GFG version is free.)</t>
        </is>
      </c>
      <c r="N97" s="38" t="inlineStr">
        <is>
          <t>Try all join orders -&gt; exponential.</t>
        </is>
      </c>
      <c r="O97" s="38" t="inlineStr">
        <is>
          <t>Min heap: pop two smallest, cost += a+b, push a+b; repeat until one rope remains.</t>
        </is>
      </c>
      <c r="P97" s="38" t="inlineStr">
        <is>
          <t>O(n log n)</t>
        </is>
      </c>
      <c r="Q97" s="38" t="inlineStr">
        <is>
          <t>O(n)</t>
        </is>
      </c>
      <c r="R97" s="38" t="inlineStr">
        <is>
          <t>Same idea as Huffman coding. Example [4,3,2,6] -&gt; 29.</t>
        </is>
      </c>
      <c r="S97" s="38" t="inlineStr"/>
      <c r="T97" s="39" t="inlineStr">
        <is>
          <t>Not Started</t>
        </is>
      </c>
      <c r="U97" s="40" t="n"/>
      <c r="V97" s="39" t="n"/>
      <c r="W97" s="39" t="n"/>
      <c r="X97" s="41">
        <f>IF(U97&lt;&gt;"",U97+7,C97+7)</f>
        <v/>
      </c>
      <c r="Y97" s="42" t="n"/>
    </row>
    <row r="98" ht="105" customHeight="1">
      <c r="A98" s="110" t="n">
        <v>86</v>
      </c>
      <c r="B98" s="111" t="n">
        <v>13</v>
      </c>
      <c r="C98" s="112">
        <f>Dashboard!$C$5+A98-1</f>
        <v/>
      </c>
      <c r="D98" s="113" t="inlineStr">
        <is>
          <t>Greedy</t>
        </is>
      </c>
      <c r="E98" s="111" t="inlineStr">
        <is>
          <t>Main</t>
        </is>
      </c>
      <c r="F98" s="114" t="inlineStr">
        <is>
          <t>Gas Station</t>
        </is>
      </c>
      <c r="G98" s="111" t="inlineStr">
        <is>
          <t>LeetCode</t>
        </is>
      </c>
      <c r="H98" s="111" t="n">
        <v>134</v>
      </c>
      <c r="I98" s="115" t="inlineStr">
        <is>
          <t>Open</t>
        </is>
      </c>
      <c r="J98" s="111" t="inlineStr">
        <is>
          <t>Medium</t>
        </is>
      </c>
      <c r="K98" s="113" t="inlineStr">
        <is>
          <t>Sheet P13 #7</t>
        </is>
      </c>
      <c r="L98" s="113" t="inlineStr">
        <is>
          <t>Greedy</t>
        </is>
      </c>
      <c r="M98" s="38" t="inlineStr">
        <is>
          <t>Return the starting station index to travel around the circuit once, or -1.</t>
        </is>
      </c>
      <c r="N98" s="38" t="inlineStr">
        <is>
          <t>Try every start and simulate -&gt; O(n^2).</t>
        </is>
      </c>
      <c r="O98" s="38" t="inlineStr">
        <is>
          <t>If sum(gas) &lt; sum(cost) return -1. Else scan with tank; when tank &lt; 0, start = i+1 and reset tank = 0.</t>
        </is>
      </c>
      <c r="P98" s="38" t="inlineStr">
        <is>
          <t>O(n)</t>
        </is>
      </c>
      <c r="Q98" s="38" t="inlineStr">
        <is>
          <t>O(1)</t>
        </is>
      </c>
      <c r="R98" s="38" t="inlineStr">
        <is>
          <t>Example gas=[1,2,3,4,5], cost=[3,4,5,1,2] -&gt; start 3.</t>
        </is>
      </c>
      <c r="S98" s="38" t="inlineStr">
        <is>
          <t>Prove why the reset works.</t>
        </is>
      </c>
      <c r="T98" s="39" t="inlineStr">
        <is>
          <t>Not Started</t>
        </is>
      </c>
      <c r="U98" s="40" t="n"/>
      <c r="V98" s="39" t="n"/>
      <c r="W98" s="39" t="n"/>
      <c r="X98" s="41">
        <f>IF(U98&lt;&gt;"",U98+7,C98+7)</f>
        <v/>
      </c>
      <c r="Y98" s="42" t="n"/>
    </row>
    <row r="99" ht="105" customHeight="1">
      <c r="A99" s="110" t="n">
        <v>87</v>
      </c>
      <c r="B99" s="111" t="n">
        <v>13</v>
      </c>
      <c r="C99" s="112">
        <f>Dashboard!$C$5+A99-1</f>
        <v/>
      </c>
      <c r="D99" s="113" t="inlineStr">
        <is>
          <t>Greedy</t>
        </is>
      </c>
      <c r="E99" s="111" t="inlineStr">
        <is>
          <t>Main</t>
        </is>
      </c>
      <c r="F99" s="114" t="inlineStr">
        <is>
          <t>Minimum Number of Coins (Greedy)</t>
        </is>
      </c>
      <c r="G99" s="111" t="inlineStr">
        <is>
          <t>GFG</t>
        </is>
      </c>
      <c r="H99" s="111" t="inlineStr">
        <is>
          <t>-</t>
        </is>
      </c>
      <c r="I99" s="115" t="inlineStr">
        <is>
          <t>Open</t>
        </is>
      </c>
      <c r="J99" s="111" t="inlineStr">
        <is>
          <t>Easy</t>
        </is>
      </c>
      <c r="K99" s="113" t="inlineStr">
        <is>
          <t>Sheet P13 #3</t>
        </is>
      </c>
      <c r="L99" s="113" t="inlineStr">
        <is>
          <t>Greedy (largest coin first)</t>
        </is>
      </c>
      <c r="M99" s="38" t="inlineStr">
        <is>
          <t>With Indian currency denominations and infinite supply, find the minimum coins to make a value.</t>
        </is>
      </c>
      <c r="N99" s="38" t="inlineStr">
        <is>
          <t>-</t>
        </is>
      </c>
      <c r="O99" s="38" t="inlineStr">
        <is>
          <t>Pick the largest coin &lt;= remaining amount repeatedly.</t>
        </is>
      </c>
      <c r="P99" s="38" t="inlineStr">
        <is>
          <t>O(n + amount/coin)</t>
        </is>
      </c>
      <c r="Q99" s="38" t="inlineStr">
        <is>
          <t>O(1)</t>
        </is>
      </c>
      <c r="R99" s="38" t="inlineStr">
        <is>
          <t>Greedy is correct ONLY for canonical coin systems (1,2,5,10...). For coins [1,3,4], amount 6 greedy gives 3 coins but optimal is 2 -&gt; use DP (LC 322, Day 91).</t>
        </is>
      </c>
      <c r="S99" s="38" t="inlineStr">
        <is>
          <t>Bridge to Dynamic Programming.</t>
        </is>
      </c>
      <c r="T99" s="39" t="inlineStr">
        <is>
          <t>Not Started</t>
        </is>
      </c>
      <c r="U99" s="40" t="n"/>
      <c r="V99" s="39" t="n"/>
      <c r="W99" s="39" t="n"/>
      <c r="X99" s="41">
        <f>IF(U99&lt;&gt;"",U99+7,C99+7)</f>
        <v/>
      </c>
      <c r="Y99" s="42" t="n"/>
    </row>
    <row r="100" ht="105" customHeight="1">
      <c r="A100" s="117" t="n">
        <v>88</v>
      </c>
      <c r="B100" s="118" t="n">
        <v>13</v>
      </c>
      <c r="C100" s="119">
        <f>Dashboard!$C$5+A100-1</f>
        <v/>
      </c>
      <c r="D100" s="120" t="inlineStr">
        <is>
          <t>Dynamic Programming</t>
        </is>
      </c>
      <c r="E100" s="118" t="inlineStr">
        <is>
          <t>Main</t>
        </is>
      </c>
      <c r="F100" s="121" t="inlineStr">
        <is>
          <t>Climbing Stairs</t>
        </is>
      </c>
      <c r="G100" s="118" t="inlineStr">
        <is>
          <t>LeetCode</t>
        </is>
      </c>
      <c r="H100" s="118" t="n">
        <v>70</v>
      </c>
      <c r="I100" s="122" t="inlineStr">
        <is>
          <t>Open</t>
        </is>
      </c>
      <c r="J100" s="118" t="inlineStr">
        <is>
          <t>Easy</t>
        </is>
      </c>
      <c r="K100" s="120" t="inlineStr">
        <is>
          <t>Sheet P11 #1</t>
        </is>
      </c>
      <c r="L100" s="120" t="inlineStr">
        <is>
          <t>1D DP (Fibonacci)</t>
        </is>
      </c>
      <c r="M100" s="38" t="inlineStr">
        <is>
          <t>You can climb 1 or 2 steps. How many distinct ways to reach step n?</t>
        </is>
      </c>
      <c r="N100" s="38" t="inlineStr">
        <is>
          <t>Plain recursion -&gt; O(2^n).</t>
        </is>
      </c>
      <c r="O100" s="38" t="inlineStr">
        <is>
          <t>dp[i] = dp[i-1] + dp[i-2], dp[0]=dp[1]=1. Keep only two variables.</t>
        </is>
      </c>
      <c r="P100" s="38" t="inlineStr">
        <is>
          <t>O(n)</t>
        </is>
      </c>
      <c r="Q100" s="38" t="inlineStr">
        <is>
          <t>O(1)</t>
        </is>
      </c>
      <c r="R100" s="38" t="inlineStr">
        <is>
          <t>Practise all 3 forms: recursion -&gt; memo -&gt; tabulation -&gt; space-optimised.</t>
        </is>
      </c>
      <c r="S100" s="38" t="inlineStr">
        <is>
          <t>Min Cost Climbing Stairs (LC 746).</t>
        </is>
      </c>
      <c r="T100" s="39" t="inlineStr">
        <is>
          <t>Not Started</t>
        </is>
      </c>
      <c r="U100" s="40" t="n"/>
      <c r="V100" s="39" t="n"/>
      <c r="W100" s="39" t="n"/>
      <c r="X100" s="41">
        <f>IF(U100&lt;&gt;"",U100+7,C100+7)</f>
        <v/>
      </c>
      <c r="Y100" s="42" t="n"/>
    </row>
    <row r="101" ht="105" customHeight="1">
      <c r="A101" s="117" t="n">
        <v>89</v>
      </c>
      <c r="B101" s="118" t="n">
        <v>13</v>
      </c>
      <c r="C101" s="119">
        <f>Dashboard!$C$5+A101-1</f>
        <v/>
      </c>
      <c r="D101" s="120" t="inlineStr">
        <is>
          <t>Dynamic Programming</t>
        </is>
      </c>
      <c r="E101" s="118" t="inlineStr">
        <is>
          <t>Main</t>
        </is>
      </c>
      <c r="F101" s="121" t="inlineStr">
        <is>
          <t>House Robber</t>
        </is>
      </c>
      <c r="G101" s="118" t="inlineStr">
        <is>
          <t>LeetCode</t>
        </is>
      </c>
      <c r="H101" s="118" t="n">
        <v>198</v>
      </c>
      <c r="I101" s="122" t="inlineStr">
        <is>
          <t>Open</t>
        </is>
      </c>
      <c r="J101" s="118" t="inlineStr">
        <is>
          <t>Medium</t>
        </is>
      </c>
      <c r="K101" s="120" t="inlineStr">
        <is>
          <t>Sheet P11 #2</t>
        </is>
      </c>
      <c r="L101" s="120" t="inlineStr">
        <is>
          <t>1D DP (pick / skip)</t>
        </is>
      </c>
      <c r="M101" s="38" t="inlineStr">
        <is>
          <t>Maximise money robbed from houses in a row without robbing two adjacent houses.</t>
        </is>
      </c>
      <c r="N101" s="38" t="inlineStr">
        <is>
          <t>Try all subsets -&gt; O(2^n).</t>
        </is>
      </c>
      <c r="O101" s="38" t="inlineStr">
        <is>
          <t>dp[i] = max(dp[i-1], dp[i-2] + nums[i]). Two variables prev1, prev2.</t>
        </is>
      </c>
      <c r="P101" s="38" t="inlineStr">
        <is>
          <t>O(n)</t>
        </is>
      </c>
      <c r="Q101" s="38" t="inlineStr">
        <is>
          <t>O(1)</t>
        </is>
      </c>
      <c r="R101" s="38" t="inlineStr">
        <is>
          <t>Classic take / not-take decision.</t>
        </is>
      </c>
      <c r="S101" s="38" t="inlineStr">
        <is>
          <t>House Robber II - circular (LC 213).</t>
        </is>
      </c>
      <c r="T101" s="39" t="inlineStr">
        <is>
          <t>Not Started</t>
        </is>
      </c>
      <c r="U101" s="40" t="n"/>
      <c r="V101" s="39" t="n"/>
      <c r="W101" s="39" t="n"/>
      <c r="X101" s="41">
        <f>IF(U101&lt;&gt;"",U101+7,C101+7)</f>
        <v/>
      </c>
      <c r="Y101" s="42" t="n"/>
    </row>
    <row r="102" ht="105" customHeight="1">
      <c r="A102" s="117" t="n">
        <v>90</v>
      </c>
      <c r="B102" s="118" t="n">
        <v>13</v>
      </c>
      <c r="C102" s="119">
        <f>Dashboard!$C$5+A102-1</f>
        <v/>
      </c>
      <c r="D102" s="120" t="inlineStr">
        <is>
          <t>Dynamic Programming</t>
        </is>
      </c>
      <c r="E102" s="118" t="inlineStr">
        <is>
          <t>Main</t>
        </is>
      </c>
      <c r="F102" s="121" t="inlineStr">
        <is>
          <t>Unique Paths</t>
        </is>
      </c>
      <c r="G102" s="118" t="inlineStr">
        <is>
          <t>LeetCode</t>
        </is>
      </c>
      <c r="H102" s="118" t="n">
        <v>62</v>
      </c>
      <c r="I102" s="122" t="inlineStr">
        <is>
          <t>Open</t>
        </is>
      </c>
      <c r="J102" s="118" t="inlineStr">
        <is>
          <t>Medium</t>
        </is>
      </c>
      <c r="K102" s="120" t="inlineStr">
        <is>
          <t>Added (2D grid DP)</t>
        </is>
      </c>
      <c r="L102" s="120" t="inlineStr">
        <is>
          <t>2D DP</t>
        </is>
      </c>
      <c r="M102" s="38" t="inlineStr">
        <is>
          <t>Robot moves only right/down in an m x n grid. Count paths from top-left to bottom-right.</t>
        </is>
      </c>
      <c r="N102" s="38" t="inlineStr">
        <is>
          <t>Recursion -&gt; O(2^(m+n)).</t>
        </is>
      </c>
      <c r="O102" s="38" t="inlineStr">
        <is>
          <t>dp[i][j] = dp[i-1][j] + dp[i][j-1]; first row/col = 1. Can compress to a 1D row.</t>
        </is>
      </c>
      <c r="P102" s="38" t="inlineStr">
        <is>
          <t>O(m*n)</t>
        </is>
      </c>
      <c r="Q102" s="38" t="inlineStr">
        <is>
          <t>O(n)</t>
        </is>
      </c>
      <c r="R102" s="38" t="inlineStr">
        <is>
          <t>Intro to grid DP. Math: C(m+n-2, m-1).</t>
        </is>
      </c>
      <c r="S102" s="38" t="inlineStr">
        <is>
          <t>Unique Paths II with obstacles (LC 63). Minimum Path Sum (LC 64).</t>
        </is>
      </c>
      <c r="T102" s="39" t="inlineStr">
        <is>
          <t>Not Started</t>
        </is>
      </c>
      <c r="U102" s="40" t="n"/>
      <c r="V102" s="39" t="n"/>
      <c r="W102" s="39" t="n"/>
      <c r="X102" s="41">
        <f>IF(U102&lt;&gt;"",U102+7,C102+7)</f>
        <v/>
      </c>
      <c r="Y102" s="42" t="n"/>
    </row>
    <row r="103" ht="105" customHeight="1">
      <c r="A103" s="117" t="n">
        <v>91</v>
      </c>
      <c r="B103" s="118" t="n">
        <v>13</v>
      </c>
      <c r="C103" s="119">
        <f>Dashboard!$C$5+A103-1</f>
        <v/>
      </c>
      <c r="D103" s="120" t="inlineStr">
        <is>
          <t>Dynamic Programming</t>
        </is>
      </c>
      <c r="E103" s="118" t="inlineStr">
        <is>
          <t>Main</t>
        </is>
      </c>
      <c r="F103" s="121" t="inlineStr">
        <is>
          <t>Coin Change</t>
        </is>
      </c>
      <c r="G103" s="118" t="inlineStr">
        <is>
          <t>LeetCode</t>
        </is>
      </c>
      <c r="H103" s="118" t="n">
        <v>322</v>
      </c>
      <c r="I103" s="122" t="inlineStr">
        <is>
          <t>Open</t>
        </is>
      </c>
      <c r="J103" s="118" t="inlineStr">
        <is>
          <t>Medium</t>
        </is>
      </c>
      <c r="K103" s="120" t="inlineStr">
        <is>
          <t>Sheet P13 #3 (LC 322)</t>
        </is>
      </c>
      <c r="L103" s="120" t="inlineStr">
        <is>
          <t>Unbounded Knapsack DP</t>
        </is>
      </c>
      <c r="M103" s="38" t="inlineStr">
        <is>
          <t>Return the fewest coins needed to make amount (infinite supply), or -1.</t>
        </is>
      </c>
      <c r="N103" s="38" t="inlineStr">
        <is>
          <t>Recursion over all combinations -&gt; exponential.</t>
        </is>
      </c>
      <c r="O103" s="38" t="inlineStr">
        <is>
          <t>dp[0]=0, others = INF. For a in 1..amount, for coin c: dp[a] = min(dp[a], dp[a-c]+1).</t>
        </is>
      </c>
      <c r="P103" s="38" t="inlineStr">
        <is>
          <t>O(n * amount)</t>
        </is>
      </c>
      <c r="Q103" s="38" t="inlineStr">
        <is>
          <t>O(amount)</t>
        </is>
      </c>
      <c r="R103" s="38" t="inlineStr">
        <is>
          <t>Greedy fails here (see Day 87). Initialise with amount+1 as 'infinity'.</t>
        </is>
      </c>
      <c r="S103" s="38" t="inlineStr">
        <is>
          <t>Coin Change II (Day 92).</t>
        </is>
      </c>
      <c r="T103" s="39" t="inlineStr">
        <is>
          <t>Not Started</t>
        </is>
      </c>
      <c r="U103" s="40" t="n"/>
      <c r="V103" s="39" t="n"/>
      <c r="W103" s="39" t="n"/>
      <c r="X103" s="41">
        <f>IF(U103&lt;&gt;"",U103+7,C103+7)</f>
        <v/>
      </c>
      <c r="Y103" s="42" t="n"/>
    </row>
    <row r="104" ht="105" customHeight="1">
      <c r="A104" s="117" t="n">
        <v>92</v>
      </c>
      <c r="B104" s="118" t="n">
        <v>14</v>
      </c>
      <c r="C104" s="119">
        <f>Dashboard!$C$5+A104-1</f>
        <v/>
      </c>
      <c r="D104" s="120" t="inlineStr">
        <is>
          <t>Dynamic Programming</t>
        </is>
      </c>
      <c r="E104" s="118" t="inlineStr">
        <is>
          <t>Main</t>
        </is>
      </c>
      <c r="F104" s="121" t="inlineStr">
        <is>
          <t>Coin Change II</t>
        </is>
      </c>
      <c r="G104" s="118" t="inlineStr">
        <is>
          <t>LeetCode</t>
        </is>
      </c>
      <c r="H104" s="118" t="n">
        <v>518</v>
      </c>
      <c r="I104" s="122" t="inlineStr">
        <is>
          <t>Open</t>
        </is>
      </c>
      <c r="J104" s="118" t="inlineStr">
        <is>
          <t>Medium</t>
        </is>
      </c>
      <c r="K104" s="120" t="inlineStr">
        <is>
          <t>Sheet P11 #6</t>
        </is>
      </c>
      <c r="L104" s="120" t="inlineStr">
        <is>
          <t>Unbounded Knapsack (count ways)</t>
        </is>
      </c>
      <c r="M104" s="38" t="inlineStr">
        <is>
          <t>Return the number of combinations that make up amount.</t>
        </is>
      </c>
      <c r="N104" s="38" t="inlineStr">
        <is>
          <t>Recursion -&gt; exponential.</t>
        </is>
      </c>
      <c r="O104" s="38" t="inlineStr">
        <is>
          <t>dp[0]=1. OUTER loop over coins, INNER over amounts: dp[a] += dp[a-coin].</t>
        </is>
      </c>
      <c r="P104" s="38" t="inlineStr">
        <is>
          <t>O(n * amount)</t>
        </is>
      </c>
      <c r="Q104" s="38" t="inlineStr">
        <is>
          <t>O(amount)</t>
        </is>
      </c>
      <c r="R104" s="38" t="inlineStr">
        <is>
          <t>Coins outer = combinations; amounts outer = permutations (LC 377). Order matters!</t>
        </is>
      </c>
      <c r="S104" s="38" t="inlineStr">
        <is>
          <t>Combination Sum IV (LC 377).</t>
        </is>
      </c>
      <c r="T104" s="39" t="inlineStr">
        <is>
          <t>Not Started</t>
        </is>
      </c>
      <c r="U104" s="40" t="n"/>
      <c r="V104" s="39" t="n"/>
      <c r="W104" s="39" t="n"/>
      <c r="X104" s="41">
        <f>IF(U104&lt;&gt;"",U104+7,C104+7)</f>
        <v/>
      </c>
      <c r="Y104" s="42" t="n"/>
    </row>
    <row r="105" ht="105" customHeight="1">
      <c r="A105" s="117" t="n">
        <v>93</v>
      </c>
      <c r="B105" s="118" t="n">
        <v>14</v>
      </c>
      <c r="C105" s="119">
        <f>Dashboard!$C$5+A105-1</f>
        <v/>
      </c>
      <c r="D105" s="120" t="inlineStr">
        <is>
          <t>Dynamic Programming</t>
        </is>
      </c>
      <c r="E105" s="118" t="inlineStr">
        <is>
          <t>Main</t>
        </is>
      </c>
      <c r="F105" s="121" t="inlineStr">
        <is>
          <t>0/1 Knapsack</t>
        </is>
      </c>
      <c r="G105" s="118" t="inlineStr">
        <is>
          <t>GFG</t>
        </is>
      </c>
      <c r="H105" s="118" t="inlineStr">
        <is>
          <t>-</t>
        </is>
      </c>
      <c r="I105" s="122" t="inlineStr">
        <is>
          <t>Open</t>
        </is>
      </c>
      <c r="J105" s="118" t="inlineStr">
        <is>
          <t>Medium</t>
        </is>
      </c>
      <c r="K105" s="120" t="inlineStr">
        <is>
          <t>Sheet P11 #5 (sheet says LC 416 - that's Partition Subset)</t>
        </is>
      </c>
      <c r="L105" s="120" t="inlineStr">
        <is>
          <t>2D / 1D DP</t>
        </is>
      </c>
      <c r="M105" s="38" t="inlineStr">
        <is>
          <t>Given weights and values of n items and capacity W, maximise total value; each item used at most once.</t>
        </is>
      </c>
      <c r="N105" s="38" t="inlineStr">
        <is>
          <t>Try all subsets -&gt; O(2^n).</t>
        </is>
      </c>
      <c r="O105" s="38" t="inlineStr">
        <is>
          <t>dp[i][w] = max(dp[i-1][w], val[i] + dp[i-1][w-wt[i]]). 1D: iterate w from W DOWN to wt[i].</t>
        </is>
      </c>
      <c r="P105" s="38" t="inlineStr">
        <is>
          <t>O(n * W)</t>
        </is>
      </c>
      <c r="Q105" s="38" t="inlineStr">
        <is>
          <t>O(W)</t>
        </is>
      </c>
      <c r="R105" s="38" t="inlineStr">
        <is>
          <t>1D version must loop capacity BACKWARDS (otherwise items get reused = unbounded knapsack).</t>
        </is>
      </c>
      <c r="S105" s="38" t="inlineStr">
        <is>
          <t>Parent pattern for Days 91, 92, 94.</t>
        </is>
      </c>
      <c r="T105" s="39" t="inlineStr">
        <is>
          <t>Not Started</t>
        </is>
      </c>
      <c r="U105" s="40" t="n"/>
      <c r="V105" s="39" t="n"/>
      <c r="W105" s="39" t="n"/>
      <c r="X105" s="41">
        <f>IF(U105&lt;&gt;"",U105+7,C105+7)</f>
        <v/>
      </c>
      <c r="Y105" s="42" t="n"/>
    </row>
    <row r="106" ht="105" customHeight="1">
      <c r="A106" s="117" t="n">
        <v>94</v>
      </c>
      <c r="B106" s="118" t="n">
        <v>14</v>
      </c>
      <c r="C106" s="119">
        <f>Dashboard!$C$5+A106-1</f>
        <v/>
      </c>
      <c r="D106" s="120" t="inlineStr">
        <is>
          <t>Dynamic Programming</t>
        </is>
      </c>
      <c r="E106" s="118" t="inlineStr">
        <is>
          <t>Main</t>
        </is>
      </c>
      <c r="F106" s="121" t="inlineStr">
        <is>
          <t>Partition Equal Subset Sum</t>
        </is>
      </c>
      <c r="G106" s="118" t="inlineStr">
        <is>
          <t>LeetCode</t>
        </is>
      </c>
      <c r="H106" s="118" t="n">
        <v>416</v>
      </c>
      <c r="I106" s="122" t="inlineStr">
        <is>
          <t>Open</t>
        </is>
      </c>
      <c r="J106" s="118" t="inlineStr">
        <is>
          <t>Medium</t>
        </is>
      </c>
      <c r="K106" s="120" t="inlineStr">
        <is>
          <t>Sheet P11 #8</t>
        </is>
      </c>
      <c r="L106" s="120" t="inlineStr">
        <is>
          <t>Subset Sum DP (boolean)</t>
        </is>
      </c>
      <c r="M106" s="38" t="inlineStr">
        <is>
          <t>Can the array be split into two subsets with equal sum?</t>
        </is>
      </c>
      <c r="N106" s="38" t="inlineStr">
        <is>
          <t>Try all subsets -&gt; O(2^n).</t>
        </is>
      </c>
      <c r="O106" s="38" t="inlineStr">
        <is>
          <t>If total is odd -&gt; false. target = total/2. Boolean dp[0..target], dp[0]=true; for each num, for s from target down to num: dp[s] |= dp[s-num].</t>
        </is>
      </c>
      <c r="P106" s="38" t="inlineStr">
        <is>
          <t>O(n * sum)</t>
        </is>
      </c>
      <c r="Q106" s="38" t="inlineStr">
        <is>
          <t>O(sum)</t>
        </is>
      </c>
      <c r="R106" s="38" t="inlineStr">
        <is>
          <t>It's 0/1 knapsack with booleans - loop backwards.</t>
        </is>
      </c>
      <c r="S106" s="38" t="inlineStr">
        <is>
          <t>Target Sum (LC 494).</t>
        </is>
      </c>
      <c r="T106" s="39" t="inlineStr">
        <is>
          <t>Not Started</t>
        </is>
      </c>
      <c r="U106" s="40" t="n"/>
      <c r="V106" s="39" t="n"/>
      <c r="W106" s="39" t="n"/>
      <c r="X106" s="41">
        <f>IF(U106&lt;&gt;"",U106+7,C106+7)</f>
        <v/>
      </c>
      <c r="Y106" s="42" t="n"/>
    </row>
    <row r="107" ht="105" customHeight="1">
      <c r="A107" s="117" t="n">
        <v>95</v>
      </c>
      <c r="B107" s="118" t="n">
        <v>14</v>
      </c>
      <c r="C107" s="119">
        <f>Dashboard!$C$5+A107-1</f>
        <v/>
      </c>
      <c r="D107" s="120" t="inlineStr">
        <is>
          <t>Dynamic Programming</t>
        </is>
      </c>
      <c r="E107" s="118" t="inlineStr">
        <is>
          <t>Main</t>
        </is>
      </c>
      <c r="F107" s="121" t="inlineStr">
        <is>
          <t>Longest Increasing Subsequence</t>
        </is>
      </c>
      <c r="G107" s="118" t="inlineStr">
        <is>
          <t>LeetCode</t>
        </is>
      </c>
      <c r="H107" s="118" t="n">
        <v>300</v>
      </c>
      <c r="I107" s="122" t="inlineStr">
        <is>
          <t>Open</t>
        </is>
      </c>
      <c r="J107" s="118" t="inlineStr">
        <is>
          <t>Medium</t>
        </is>
      </c>
      <c r="K107" s="120" t="inlineStr">
        <is>
          <t>Sheet P11 #3</t>
        </is>
      </c>
      <c r="L107" s="120" t="inlineStr">
        <is>
          <t>1D DP / Binary Search (patience)</t>
        </is>
      </c>
      <c r="M107" s="38" t="inlineStr">
        <is>
          <t>Return the length of the longest strictly increasing subsequence.</t>
        </is>
      </c>
      <c r="N107" s="38" t="inlineStr">
        <is>
          <t>All subsequences -&gt; O(2^n).</t>
        </is>
      </c>
      <c r="O107" s="38" t="inlineStr">
        <is>
          <t>DP: dp[i] = 1 + max(dp[j]) for j&lt;i with nums[j]&lt;nums[i] -&gt; O(n^2). Optimal: tails[] + lower_bound -&gt; O(n log n).</t>
        </is>
      </c>
      <c r="P107" s="38" t="inlineStr">
        <is>
          <t>O(n^2) / O(n log n)</t>
        </is>
      </c>
      <c r="Q107" s="38" t="inlineStr">
        <is>
          <t>O(n)</t>
        </is>
      </c>
      <c r="R107" s="38" t="inlineStr">
        <is>
          <t>tails[] is NOT the actual LIS, only its length is correct.</t>
        </is>
      </c>
      <c r="S107" s="38" t="inlineStr">
        <is>
          <t>Print the LIS. Russian Doll Envelopes (LC 354).</t>
        </is>
      </c>
      <c r="T107" s="39" t="inlineStr">
        <is>
          <t>Not Started</t>
        </is>
      </c>
      <c r="U107" s="40" t="n"/>
      <c r="V107" s="39" t="n"/>
      <c r="W107" s="39" t="n"/>
      <c r="X107" s="41">
        <f>IF(U107&lt;&gt;"",U107+7,C107+7)</f>
        <v/>
      </c>
      <c r="Y107" s="42" t="n"/>
    </row>
    <row r="108" ht="105" customHeight="1">
      <c r="A108" s="117" t="n">
        <v>96</v>
      </c>
      <c r="B108" s="118" t="n">
        <v>14</v>
      </c>
      <c r="C108" s="119">
        <f>Dashboard!$C$5+A108-1</f>
        <v/>
      </c>
      <c r="D108" s="120" t="inlineStr">
        <is>
          <t>Dynamic Programming</t>
        </is>
      </c>
      <c r="E108" s="118" t="inlineStr">
        <is>
          <t>Main</t>
        </is>
      </c>
      <c r="F108" s="121" t="inlineStr">
        <is>
          <t>Longest Common Subsequence</t>
        </is>
      </c>
      <c r="G108" s="118" t="inlineStr">
        <is>
          <t>LeetCode</t>
        </is>
      </c>
      <c r="H108" s="118" t="n">
        <v>1143</v>
      </c>
      <c r="I108" s="122" t="inlineStr">
        <is>
          <t>Open</t>
        </is>
      </c>
      <c r="J108" s="118" t="inlineStr">
        <is>
          <t>Medium</t>
        </is>
      </c>
      <c r="K108" s="120" t="inlineStr">
        <is>
          <t>Sheet P11 #7</t>
        </is>
      </c>
      <c r="L108" s="120" t="inlineStr">
        <is>
          <t>2D DP on Strings</t>
        </is>
      </c>
      <c r="M108" s="38" t="inlineStr">
        <is>
          <t>Return the length of the longest common subsequence of two strings.</t>
        </is>
      </c>
      <c r="N108" s="38" t="inlineStr">
        <is>
          <t>All subsequences -&gt; O(2^n).</t>
        </is>
      </c>
      <c r="O108" s="38" t="inlineStr">
        <is>
          <t>dp[i][j] = s1[i-1]==s2[j-1] ? 1 + dp[i-1][j-1] : max(dp[i-1][j], dp[i][j-1]).</t>
        </is>
      </c>
      <c r="P108" s="38" t="inlineStr">
        <is>
          <t>O(m*n)</t>
        </is>
      </c>
      <c r="Q108" s="38" t="inlineStr">
        <is>
          <t>O(m*n) (O(n) with rolling rows)</t>
        </is>
      </c>
      <c r="R108" s="38" t="inlineStr">
        <is>
          <t>Use (m+1) x (n+1) table so row/col 0 represent empty strings.</t>
        </is>
      </c>
      <c r="S108" s="38" t="inlineStr">
        <is>
          <t>Print the LCS. Shortest Common Supersequence (LC 1092).</t>
        </is>
      </c>
      <c r="T108" s="39" t="inlineStr">
        <is>
          <t>Not Started</t>
        </is>
      </c>
      <c r="U108" s="40" t="n"/>
      <c r="V108" s="39" t="n"/>
      <c r="W108" s="39" t="n"/>
      <c r="X108" s="41">
        <f>IF(U108&lt;&gt;"",U108+7,C108+7)</f>
        <v/>
      </c>
      <c r="Y108" s="42" t="n"/>
    </row>
    <row r="109" ht="105" customHeight="1">
      <c r="A109" s="117" t="n">
        <v>97</v>
      </c>
      <c r="B109" s="118" t="n">
        <v>14</v>
      </c>
      <c r="C109" s="119">
        <f>Dashboard!$C$5+A109-1</f>
        <v/>
      </c>
      <c r="D109" s="120" t="inlineStr">
        <is>
          <t>Dynamic Programming</t>
        </is>
      </c>
      <c r="E109" s="118" t="inlineStr">
        <is>
          <t>Main</t>
        </is>
      </c>
      <c r="F109" s="121" t="inlineStr">
        <is>
          <t>Edit Distance</t>
        </is>
      </c>
      <c r="G109" s="118" t="inlineStr">
        <is>
          <t>LeetCode</t>
        </is>
      </c>
      <c r="H109" s="118" t="n">
        <v>72</v>
      </c>
      <c r="I109" s="122" t="inlineStr">
        <is>
          <t>Open</t>
        </is>
      </c>
      <c r="J109" s="118" t="inlineStr">
        <is>
          <t>Medium</t>
        </is>
      </c>
      <c r="K109" s="120" t="inlineStr">
        <is>
          <t>Sheet P11 #4</t>
        </is>
      </c>
      <c r="L109" s="120" t="inlineStr">
        <is>
          <t>2D DP on Strings</t>
        </is>
      </c>
      <c r="M109" s="38" t="inlineStr">
        <is>
          <t>Minimum insert / delete / replace operations to convert word1 into word2.</t>
        </is>
      </c>
      <c r="N109" s="38" t="inlineStr">
        <is>
          <t>Recursion over the 3 operations -&gt; O(3^(m+n)).</t>
        </is>
      </c>
      <c r="O109" s="38" t="inlineStr">
        <is>
          <t>If chars match dp[i][j]=dp[i-1][j-1]; else 1 + min(dp[i-1][j] (delete), dp[i][j-1] (insert), dp[i-1][j-1] (replace)). Base dp[i][0]=i, dp[0][j]=j.</t>
        </is>
      </c>
      <c r="P109" s="38" t="inlineStr">
        <is>
          <t>O(m*n)</t>
        </is>
      </c>
      <c r="Q109" s="38" t="inlineStr">
        <is>
          <t>O(m*n) (O(n) optimised)</t>
        </is>
      </c>
      <c r="R109" s="38" t="inlineStr">
        <is>
          <t>Get the base cases right - they represent converting to/from an empty string.</t>
        </is>
      </c>
      <c r="S109" s="38" t="inlineStr">
        <is>
          <t>One Edit Distance. Delete Operation for Two Strings (LC 583).</t>
        </is>
      </c>
      <c r="T109" s="39" t="inlineStr">
        <is>
          <t>Not Started</t>
        </is>
      </c>
      <c r="U109" s="40" t="n"/>
      <c r="V109" s="39" t="n"/>
      <c r="W109" s="39" t="n"/>
      <c r="X109" s="41">
        <f>IF(U109&lt;&gt;"",U109+7,C109+7)</f>
        <v/>
      </c>
      <c r="Y109" s="42" t="n"/>
    </row>
    <row r="110" ht="105" customHeight="1">
      <c r="A110" s="123" t="n">
        <v>98</v>
      </c>
      <c r="B110" s="124" t="n">
        <v>14</v>
      </c>
      <c r="C110" s="125">
        <f>Dashboard!$C$5+A110-1</f>
        <v/>
      </c>
      <c r="D110" s="126" t="inlineStr">
        <is>
          <t>Capstone (Design &amp; Backtracking)</t>
        </is>
      </c>
      <c r="E110" s="124" t="inlineStr">
        <is>
          <t>Main</t>
        </is>
      </c>
      <c r="F110" s="127" t="inlineStr">
        <is>
          <t>LRU Cache</t>
        </is>
      </c>
      <c r="G110" s="124" t="inlineStr">
        <is>
          <t>LeetCode</t>
        </is>
      </c>
      <c r="H110" s="124" t="n">
        <v>146</v>
      </c>
      <c r="I110" s="128" t="inlineStr">
        <is>
          <t>Open</t>
        </is>
      </c>
      <c r="J110" s="124" t="inlineStr">
        <is>
          <t>Medium</t>
        </is>
      </c>
      <c r="K110" s="126" t="inlineStr">
        <is>
          <t>Added (most-asked design problem)</t>
        </is>
      </c>
      <c r="L110" s="126" t="inlineStr">
        <is>
          <t>HashMap + Doubly Linked List</t>
        </is>
      </c>
      <c r="M110" s="38" t="inlineStr">
        <is>
          <t>Design a cache with get and put in O(1) that evicts the least recently used key when full.</t>
        </is>
      </c>
      <c r="N110" s="38" t="inlineStr">
        <is>
          <t>Array/list with linear search for LRU -&gt; O(n).</t>
        </is>
      </c>
      <c r="O110" s="38" t="inlineStr">
        <is>
          <t>HashMap key -&gt; node; doubly linked list ordered by recency (head = most recent). On get/put move node to head; evict from tail.</t>
        </is>
      </c>
      <c r="P110" s="38" t="inlineStr">
        <is>
          <t>O(1) per op</t>
        </is>
      </c>
      <c r="Q110" s="38" t="inlineStr">
        <is>
          <t>O(capacity)</t>
        </is>
      </c>
      <c r="R110" s="38" t="inlineStr">
        <is>
          <t>Use dummy head and tail nodes. Update the map when evicting.</t>
        </is>
      </c>
      <c r="S110" s="38" t="inlineStr">
        <is>
          <t>LFU Cache (LC 460).</t>
        </is>
      </c>
      <c r="T110" s="39" t="inlineStr">
        <is>
          <t>Not Started</t>
        </is>
      </c>
      <c r="U110" s="40" t="n"/>
      <c r="V110" s="39" t="n"/>
      <c r="W110" s="39" t="n"/>
      <c r="X110" s="41">
        <f>IF(U110&lt;&gt;"",U110+7,C110+7)</f>
        <v/>
      </c>
      <c r="Y110" s="42" t="n"/>
    </row>
    <row r="111" ht="105" customHeight="1">
      <c r="A111" s="123" t="n">
        <v>99</v>
      </c>
      <c r="B111" s="124" t="n">
        <v>15</v>
      </c>
      <c r="C111" s="125">
        <f>Dashboard!$C$5+A111-1</f>
        <v/>
      </c>
      <c r="D111" s="126" t="inlineStr">
        <is>
          <t>Capstone (Design &amp; Backtracking)</t>
        </is>
      </c>
      <c r="E111" s="124" t="inlineStr">
        <is>
          <t>Main</t>
        </is>
      </c>
      <c r="F111" s="127" t="inlineStr">
        <is>
          <t>Subsets</t>
        </is>
      </c>
      <c r="G111" s="124" t="inlineStr">
        <is>
          <t>LeetCode</t>
        </is>
      </c>
      <c r="H111" s="124" t="n">
        <v>78</v>
      </c>
      <c r="I111" s="128" t="inlineStr">
        <is>
          <t>Open</t>
        </is>
      </c>
      <c r="J111" s="124" t="inlineStr">
        <is>
          <t>Medium</t>
        </is>
      </c>
      <c r="K111" s="126" t="inlineStr">
        <is>
          <t>Added (backtracking - not in sheet)</t>
        </is>
      </c>
      <c r="L111" s="126" t="inlineStr">
        <is>
          <t>Backtracking</t>
        </is>
      </c>
      <c r="M111" s="38" t="inlineStr">
        <is>
          <t>Return all possible subsets (the power set) of distinct integers.</t>
        </is>
      </c>
      <c r="N111" s="38" t="inlineStr">
        <is>
          <t>-</t>
        </is>
      </c>
      <c r="O111" s="38" t="inlineStr">
        <is>
          <t>Backtrack(start, path): add a copy of path; for i from start: add nums[i], recurse(i+1), remove.</t>
        </is>
      </c>
      <c r="P111" s="38" t="inlineStr">
        <is>
          <t>O(n * 2^n)</t>
        </is>
      </c>
      <c r="Q111" s="38" t="inlineStr">
        <is>
          <t>O(n)</t>
        </is>
      </c>
      <c r="R111" s="38" t="inlineStr">
        <is>
          <t>Add a COPY of path to the result. Also know the bitmask approach.</t>
        </is>
      </c>
      <c r="S111" s="38" t="inlineStr">
        <is>
          <t>Subsets II with duplicates (LC 90).</t>
        </is>
      </c>
      <c r="T111" s="39" t="inlineStr">
        <is>
          <t>Not Started</t>
        </is>
      </c>
      <c r="U111" s="40" t="n"/>
      <c r="V111" s="39" t="n"/>
      <c r="W111" s="39" t="n"/>
      <c r="X111" s="41">
        <f>IF(U111&lt;&gt;"",U111+7,C111+7)</f>
        <v/>
      </c>
      <c r="Y111" s="42" t="n"/>
    </row>
    <row r="112" ht="105" customHeight="1">
      <c r="A112" s="123" t="n">
        <v>99</v>
      </c>
      <c r="B112" s="124" t="n">
        <v>15</v>
      </c>
      <c r="C112" s="125">
        <f>Dashboard!$C$5+A112-1</f>
        <v/>
      </c>
      <c r="D112" s="126" t="inlineStr">
        <is>
          <t>Capstone (Design &amp; Backtracking)</t>
        </is>
      </c>
      <c r="E112" s="124" t="inlineStr">
        <is>
          <t>Bonus</t>
        </is>
      </c>
      <c r="F112" s="129" t="inlineStr">
        <is>
          <t>Permutations</t>
        </is>
      </c>
      <c r="G112" s="124" t="inlineStr">
        <is>
          <t>LeetCode</t>
        </is>
      </c>
      <c r="H112" s="124" t="n">
        <v>46</v>
      </c>
      <c r="I112" s="128" t="inlineStr">
        <is>
          <t>Open</t>
        </is>
      </c>
      <c r="J112" s="124" t="inlineStr">
        <is>
          <t>Medium</t>
        </is>
      </c>
      <c r="K112" s="126" t="inlineStr">
        <is>
          <t>Added</t>
        </is>
      </c>
      <c r="L112" s="126" t="inlineStr">
        <is>
          <t>Backtracking</t>
        </is>
      </c>
      <c r="M112" s="38" t="inlineStr">
        <is>
          <t>Return all permutations of distinct integers.</t>
        </is>
      </c>
      <c r="N112" s="38" t="inlineStr">
        <is>
          <t>-</t>
        </is>
      </c>
      <c r="O112" s="38" t="inlineStr">
        <is>
          <t>Backtrack with a used[] array; when path length == n, record a copy.</t>
        </is>
      </c>
      <c r="P112" s="38" t="inlineStr">
        <is>
          <t>O(n * n!)</t>
        </is>
      </c>
      <c r="Q112" s="38" t="inlineStr">
        <is>
          <t>O(n)</t>
        </is>
      </c>
      <c r="R112" s="38" t="inlineStr"/>
      <c r="S112" s="38" t="inlineStr">
        <is>
          <t>Permutations II (LC 47).</t>
        </is>
      </c>
      <c r="T112" s="39" t="inlineStr">
        <is>
          <t>Not Started</t>
        </is>
      </c>
      <c r="U112" s="40" t="n"/>
      <c r="V112" s="39" t="n"/>
      <c r="W112" s="39" t="n"/>
      <c r="X112" s="41">
        <f>IF(U112&lt;&gt;"",U112+7,C112+7)</f>
        <v/>
      </c>
      <c r="Y112" s="42" t="n"/>
    </row>
    <row r="113" ht="105" customHeight="1">
      <c r="A113" s="123" t="n">
        <v>100</v>
      </c>
      <c r="B113" s="124" t="n">
        <v>15</v>
      </c>
      <c r="C113" s="125">
        <f>Dashboard!$C$5+A113-1</f>
        <v/>
      </c>
      <c r="D113" s="126" t="inlineStr">
        <is>
          <t>Capstone (Design &amp; Backtracking)</t>
        </is>
      </c>
      <c r="E113" s="124" t="inlineStr">
        <is>
          <t>Main</t>
        </is>
      </c>
      <c r="F113" s="127" t="inlineStr">
        <is>
          <t>Word Search</t>
        </is>
      </c>
      <c r="G113" s="124" t="inlineStr">
        <is>
          <t>LeetCode</t>
        </is>
      </c>
      <c r="H113" s="124" t="n">
        <v>79</v>
      </c>
      <c r="I113" s="128" t="inlineStr">
        <is>
          <t>Open</t>
        </is>
      </c>
      <c r="J113" s="124" t="inlineStr">
        <is>
          <t>Medium</t>
        </is>
      </c>
      <c r="K113" s="126" t="inlineStr">
        <is>
          <t>Added (grid DFS + backtracking)</t>
        </is>
      </c>
      <c r="L113" s="126" t="inlineStr">
        <is>
          <t>DFS + Backtracking</t>
        </is>
      </c>
      <c r="M113" s="38" t="inlineStr">
        <is>
          <t>Return true if word exists in the grid via sequentially adjacent cells (each cell used once).</t>
        </is>
      </c>
      <c r="N113" s="38" t="inlineStr">
        <is>
          <t>-</t>
        </is>
      </c>
      <c r="O113" s="38" t="inlineStr">
        <is>
          <t>From each cell matching word[0], DFS 4 directions; mark cell visited (e.g., '#'), recurse, then restore.</t>
        </is>
      </c>
      <c r="P113" s="38" t="inlineStr">
        <is>
          <t>O(m*n * 3^L)</t>
        </is>
      </c>
      <c r="Q113" s="38" t="inlineStr">
        <is>
          <t>O(L)</t>
        </is>
      </c>
      <c r="R113" s="38" t="inlineStr">
        <is>
          <t>Restore the cell after recursion (backtrack). Prune early on mismatch.</t>
        </is>
      </c>
      <c r="S113" s="38" t="inlineStr">
        <is>
          <t>Word Search II with a Trie (LC 212).</t>
        </is>
      </c>
      <c r="T113" s="39" t="inlineStr">
        <is>
          <t>Not Started</t>
        </is>
      </c>
      <c r="U113" s="40" t="n"/>
      <c r="V113" s="39" t="n"/>
      <c r="W113" s="39" t="n"/>
      <c r="X113" s="41">
        <f>IF(U113&lt;&gt;"",U113+7,C113+7)</f>
        <v/>
      </c>
      <c r="Y113" s="42" t="n"/>
    </row>
  </sheetData>
  <autoFilter ref="A1:Y113"/>
  <conditionalFormatting sqref="T2:T113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"Revise"</formula>
    </cfRule>
  </conditionalFormatting>
  <conditionalFormatting sqref="J2:J113">
    <cfRule type="cellIs" priority="4" operator="equal" dxfId="3">
      <formula>"Easy"</formula>
    </cfRule>
    <cfRule type="cellIs" priority="5" operator="equal" dxfId="4">
      <formula>"Medium"</formula>
    </cfRule>
    <cfRule type="cellIs" priority="6" operator="equal" dxfId="5">
      <formula>"Hard"</formula>
    </cfRule>
  </conditionalFormatting>
  <conditionalFormatting sqref="X2:X113">
    <cfRule type="expression" priority="7" dxfId="5">
      <formula>AND(T2&lt;&gt;"Done",X2&lt;TODAY())</formula>
    </cfRule>
  </conditionalFormatting>
  <dataValidations count="3">
    <dataValidation sqref="T2:T113" showDropDown="0" showInputMessage="0" showErrorMessage="0" allowBlank="1" type="list">
      <formula1>"Not Started,In Progress,Done,Revise"</formula1>
    </dataValidation>
    <dataValidation sqref="W2:W113" showDropDown="0" showInputMessage="0" showErrorMessage="0" allowBlank="1" type="whole" operator="between">
      <formula1>1</formula1>
      <formula2>5</formula2>
    </dataValidation>
    <dataValidation sqref="U2:U113" showDropDown="0" showInputMessage="0" showErrorMessage="0" allowBlank="1" type="date" operator="greaterThan">
      <formula1>36526</formula1>
    </dataValidation>
  </dataValidations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>
      <c r="A1" s="11" t="inlineStr">
        <is>
          <t>Topic</t>
        </is>
      </c>
      <c r="B1" s="11" t="inlineStr">
        <is>
          <t>When to Use / Recognise It</t>
        </is>
      </c>
      <c r="C1" s="11" t="inlineStr">
        <is>
          <t>Template / Must-Remember (from your sheet)</t>
        </is>
      </c>
    </row>
    <row r="2" ht="72" customHeight="1">
      <c r="A2" s="36" t="inlineStr">
        <is>
          <t>Arrays</t>
        </is>
      </c>
      <c r="B2" s="38" t="inlineStr">
        <is>
          <t>Hashing, Prefix/Suffix, Kadane, Sliding Window, Two Pointers, Sorting/Greedy patterns.</t>
        </is>
      </c>
      <c r="C2" s="130" t="inlineStr">
        <is>
          <t>Kadane: cur = max(x, cur+x); best = max(best, cur)
Boyer-Moore: count==0 → candidate = x
Prefix × Suffix for 'except self'</t>
        </is>
      </c>
    </row>
    <row r="3" ht="54" customHeight="1">
      <c r="A3" s="48" t="inlineStr">
        <is>
          <t>Strings</t>
        </is>
      </c>
      <c r="B3" s="38" t="inlineStr">
        <is>
          <t>Two Pointers → palindrome/reverse. Hashing → anagram/frequency/grouping. Sliding Window → longest substring. Prefix matching. Simulation → compression.</t>
        </is>
      </c>
      <c r="C3" s="130" t="inlineStr">
        <is>
          <t>int[26] frequency array for lowercase letters
Canonical key (sorted / counts) for grouping</t>
        </is>
      </c>
    </row>
    <row r="4" ht="72" customHeight="1">
      <c r="A4" s="54" t="inlineStr">
        <is>
          <t>Two Pointers</t>
        </is>
      </c>
      <c r="B4" s="38" t="inlineStr">
        <is>
          <t>Pairs/triplets; array sorted or can be sorted; min/max with two values.</t>
        </is>
      </c>
      <c r="C4" s="130" t="inlineStr">
        <is>
          <t>left = 0, right = n-1
while left &lt; right:
    if condition: move left or right</t>
        </is>
      </c>
    </row>
    <row r="5" ht="108" customHeight="1">
      <c r="A5" s="54" t="inlineStr">
        <is>
          <t>Sliding Window</t>
        </is>
      </c>
      <c r="B5" s="38" t="inlineStr">
        <is>
          <t>Subarray/substring; longest/shortest with a condition; positive elements / counts.</t>
        </is>
      </c>
      <c r="C5" s="130" t="inlineStr">
        <is>
          <t>left = 0
for right in range(n):
    add nums[right]
    while window invalid: remove nums[left]; left += 1
    update answer</t>
        </is>
      </c>
    </row>
    <row r="6" ht="72" customHeight="1">
      <c r="A6" s="60" t="inlineStr">
        <is>
          <t>Hashing &amp; Prefix Sum</t>
        </is>
      </c>
      <c r="B6" s="38" t="inlineStr">
        <is>
          <t>Fast lookup / counting / grouping; range or subarray sums; convert O(n²) → O(n).</t>
        </is>
      </c>
      <c r="C6" s="130" t="inlineStr">
        <is>
          <t>prefix[i] = sum(0..i);  sum(i,j) = prefix[j] - prefix[i-1]
Count subarrays with sum k: ans += map[prefix-k], seed {0:1}
Longest: store FIRST index of each prefix</t>
        </is>
      </c>
    </row>
    <row r="7" ht="90" customHeight="1">
      <c r="A7" s="67" t="inlineStr">
        <is>
          <t>Linked List</t>
        </is>
      </c>
      <c r="B7" s="38" t="inlineStr">
        <is>
          <t>Pointer manipulation, cycle detection, middle, k-th from end.</t>
        </is>
      </c>
      <c r="C7" s="130" t="inlineStr">
        <is>
          <t>Dummy node for head edge cases
Fast (2x) &amp; Slow (1x): cycle, middle
Reverse: prev, curr, next
Insert/Delete at head O(1); at tail/position O(n)</t>
        </is>
      </c>
    </row>
    <row r="8" ht="72" customHeight="1">
      <c r="A8" s="74" t="inlineStr">
        <is>
          <t>Stacks &amp; Queues</t>
        </is>
      </c>
      <c r="B8" s="38" t="inlineStr">
        <is>
          <t>Matching brackets, next greater/smaller, expression evaluation, histogram, sliding window max.</t>
        </is>
      </c>
      <c r="C8" s="130" t="inlineStr">
        <is>
          <t>Monotonic stack: while stack and cur &gt; stack.top: pop &amp; resolve
Store indices when you need distances/widths
Queue via 2 stacks: amortized O(1)</t>
        </is>
      </c>
    </row>
    <row r="9" ht="108" customHeight="1">
      <c r="A9" s="81" t="inlineStr">
        <is>
          <t>Binary Search</t>
        </is>
      </c>
      <c r="B9" s="38" t="inlineStr">
        <is>
          <t>Sorted data or a MONOTONIC condition; ordered answer space; min/max feasible value.</t>
        </is>
      </c>
      <c r="C9" s="130" t="inlineStr">
        <is>
          <t>while lo &lt;= hi:
    mid = lo + (hi-lo)//2
    if condition(mid): ans = mid; hi = mid-1
    else: lo = mid+1
Use long for mid*mid; watch for infinite loops</t>
        </is>
      </c>
    </row>
    <row r="10" ht="72" customHeight="1">
      <c r="A10" s="88" t="inlineStr">
        <is>
          <t>Trees &amp; BST</t>
        </is>
      </c>
      <c r="B10" s="38" t="inlineStr">
        <is>
          <t>Hierarchical data. DFS for paths/heights/LCA; BFS for level-order/min steps.</t>
        </is>
      </c>
      <c r="C10" s="130" t="inlineStr">
        <is>
          <t>Pre: Root-L-R | In: L-Root-R | Post: L-R-Root
BST: left &lt; node &lt; right; inorder is sorted
Height template: 1 + max(L, R), update global answer</t>
        </is>
      </c>
    </row>
    <row r="11" ht="72" customHeight="1">
      <c r="A11" s="94" t="inlineStr">
        <is>
          <t>Heaps / Priority Queue</t>
        </is>
      </c>
      <c r="B11" s="38" t="inlineStr">
        <is>
          <t>K largest/smallest, merge K sorted, streaming median, scheduling, Dijkstra, Huffman.</t>
        </is>
      </c>
      <c r="C11" s="130" t="inlineStr">
        <is>
          <t>K largest → MIN heap of size k; K smallest → MAX heap
Push/Pop O(log n), Peek O(1), Build O(n)
Children of i: 2i+1, 2i+2; Parent: (i-1)//2</t>
        </is>
      </c>
    </row>
    <row r="12" ht="72" customHeight="1">
      <c r="A12" s="100" t="inlineStr">
        <is>
          <t>Graphs (BFS / DFS)</t>
        </is>
      </c>
      <c r="B12" s="38" t="inlineStr">
        <is>
          <t>Relationships, grids, connectivity, dependencies (topological sort).</t>
        </is>
      </c>
      <c r="C12" s="130" t="inlineStr">
        <is>
          <t>Adjacency list (space-efficient) vs matrix (fast lookup)
Undirected cycle: visited neighbour ≠ parent
Kahn's: indegree 0 → queue → pop → decrement neighbours</t>
        </is>
      </c>
    </row>
    <row r="13" ht="72" customHeight="1">
      <c r="A13" s="107" t="inlineStr">
        <is>
          <t>Graph Algorithms</t>
        </is>
      </c>
      <c r="B13" s="38" t="inlineStr">
        <is>
          <t>Shortest paths, MST, bridges, articulation points, bipartite.</t>
        </is>
      </c>
      <c r="C13" s="130" t="inlineStr">
        <is>
          <t>Unweighted → BFS | Non-negative weights → Dijkstra | Negative → Bellman-Ford
Kruskal: sort edges + DSU | Prim: min heap from a node
Bridge: low[v] &gt; disc[u] | Articulation: low[v] &gt;= disc[u]</t>
        </is>
      </c>
    </row>
    <row r="14" ht="90" customHeight="1">
      <c r="A14" s="114" t="inlineStr">
        <is>
          <t>Greedy</t>
        </is>
      </c>
      <c r="B14" s="38" t="inlineStr">
        <is>
          <t>Greedy-choice property + optimal substructure; intervals, scheduling, ratios.</t>
        </is>
      </c>
      <c r="C14" s="130" t="inlineStr">
        <is>
          <t>Activity selection: sort by END time
Merge intervals: sort by START
Fractional knapsack: sort by value/weight
Greedy coins fails for non-canonical coins → DP</t>
        </is>
      </c>
    </row>
    <row r="15" ht="90" customHeight="1">
      <c r="A15" s="121" t="inlineStr">
        <is>
          <t>Dynamic Programming</t>
        </is>
      </c>
      <c r="B15" s="38" t="inlineStr">
        <is>
          <t>Overlapping subproblems + optimal substructure; 'count ways', 'min/max', 'is it possible'.</t>
        </is>
      </c>
      <c r="C15" s="130" t="inlineStr">
        <is>
          <t>Steps: define state → recurrence → base case → order
Top-down (memo) vs Bottom-up (tabulation)
0/1 knapsack 1D: loop capacity BACKWARDS
Coin Change II: coins outer loop = combinations</t>
        </is>
      </c>
    </row>
    <row r="16" ht="54" customHeight="1">
      <c r="A16" s="127" t="inlineStr">
        <is>
          <t>Complexity Guide</t>
        </is>
      </c>
      <c r="B16" s="38" t="inlineStr">
        <is>
          <t>Constraint → target complexity.</t>
        </is>
      </c>
      <c r="C16" s="130" t="inlineStr">
        <is>
          <t>n ≤ 10 → O(n!) | n ≤ 20 → O(2^n) | n ≤ 500 → O(n³)
n ≤ 10^4 → O(n²) | n ≤ 10^6 → O(n log n) / O(n) | bigger → O(log n) / O(1)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60" customWidth="1" min="4" max="4"/>
  </cols>
  <sheetData>
    <row r="1">
      <c r="A1" s="11" t="inlineStr">
        <is>
          <t>Problem on your sheet</t>
        </is>
      </c>
      <c r="B1" s="11" t="inlineStr">
        <is>
          <t>Sheet says</t>
        </is>
      </c>
      <c r="C1" s="11" t="inlineStr">
        <is>
          <t>Actually</t>
        </is>
      </c>
      <c r="D1" s="11" t="inlineStr">
        <is>
          <t>What this plan does</t>
        </is>
      </c>
    </row>
    <row r="2">
      <c r="A2" s="38" t="inlineStr">
        <is>
          <t>0/1 Knapsack (P11 #5)</t>
        </is>
      </c>
      <c r="B2" s="38" t="inlineStr">
        <is>
          <t>LC 416</t>
        </is>
      </c>
      <c r="C2" s="38" t="inlineStr">
        <is>
          <t>LC 416 = Partition Equal Subset Sum</t>
        </is>
      </c>
      <c r="D2" s="38" t="inlineStr">
        <is>
          <t>0/1 Knapsack on GFG (Day 93); LC 416 on Day 94.</t>
        </is>
      </c>
    </row>
    <row r="3">
      <c r="A3" s="38" t="inlineStr">
        <is>
          <t>Sort Nearly Sorted Array (P9 #6)</t>
        </is>
      </c>
      <c r="B3" s="38" t="inlineStr">
        <is>
          <t>LC 1046</t>
        </is>
      </c>
      <c r="C3" s="38" t="inlineStr">
        <is>
          <t>LC 1046 = Last Stone Weight</t>
        </is>
      </c>
      <c r="D3" s="38" t="inlineStr">
        <is>
          <t>Nearly-sorted on GFG (Day 63); Last Stone Weight added as heap warm-up (Day 60).</t>
        </is>
      </c>
    </row>
    <row r="4">
      <c r="A4" s="38" t="inlineStr">
        <is>
          <t>Activity Selection (P13 #1)</t>
        </is>
      </c>
      <c r="B4" s="38" t="inlineStr">
        <is>
          <t>LC 435</t>
        </is>
      </c>
      <c r="C4" s="38" t="inlineStr">
        <is>
          <t>LC 435 = Non-overlapping Intervals (related)</t>
        </is>
      </c>
      <c r="D4" s="38" t="inlineStr">
        <is>
          <t>Activity Selection on GFG (Day 81) + LC 435 as bonus.</t>
        </is>
      </c>
    </row>
    <row r="5">
      <c r="A5" s="38" t="inlineStr">
        <is>
          <t>Fractional Knapsack (P13 #2)</t>
        </is>
      </c>
      <c r="B5" s="38" t="inlineStr">
        <is>
          <t>LC 1029</t>
        </is>
      </c>
      <c r="C5" s="38" t="inlineStr">
        <is>
          <t>LC 1029 = Two City Scheduling</t>
        </is>
      </c>
      <c r="D5" s="38" t="inlineStr">
        <is>
          <t>Fractional Knapsack on GFG (Day 82).</t>
        </is>
      </c>
    </row>
    <row r="6">
      <c r="A6" s="38" t="inlineStr">
        <is>
          <t>Articulation Points (P12 #5)</t>
        </is>
      </c>
      <c r="B6" s="38" t="inlineStr">
        <is>
          <t>LC 1125</t>
        </is>
      </c>
      <c r="C6" s="38" t="inlineStr">
        <is>
          <t>LC 1125 = Smallest Sufficient Team</t>
        </is>
      </c>
      <c r="D6" s="38" t="inlineStr">
        <is>
          <t>Articulation Point on GFG (Day 80).</t>
        </is>
      </c>
    </row>
    <row r="7">
      <c r="A7" s="38" t="inlineStr">
        <is>
          <t>Detect Negative Cycle (P12 #3)</t>
        </is>
      </c>
      <c r="B7" s="38" t="inlineStr">
        <is>
          <t>LC 209</t>
        </is>
      </c>
      <c r="C7" s="38" t="inlineStr">
        <is>
          <t>LC 209 = Minimum Size Subarray Sum</t>
        </is>
      </c>
      <c r="D7" s="38" t="inlineStr">
        <is>
          <t>Bellman-Ford on GFG (Day 76) + LC 787 bonus.</t>
        </is>
      </c>
    </row>
    <row r="8">
      <c r="A8" s="38" t="inlineStr">
        <is>
          <t>Detect Cycle Undirected (P10 #3)</t>
        </is>
      </c>
      <c r="B8" s="38" t="inlineStr">
        <is>
          <t>LC 547</t>
        </is>
      </c>
      <c r="C8" s="38" t="inlineStr">
        <is>
          <t>LC 547 = Number of Provinces</t>
        </is>
      </c>
      <c r="D8" s="38" t="inlineStr">
        <is>
          <t>Both included: LC 547 (Day 68) and GFG cycle detection (Day 69).</t>
        </is>
      </c>
    </row>
    <row r="9">
      <c r="A9" s="38" t="inlineStr">
        <is>
          <t>Min Number of Coins (P13 #3)</t>
        </is>
      </c>
      <c r="B9" s="38" t="inlineStr">
        <is>
          <t>Greedy, LC 322</t>
        </is>
      </c>
      <c r="C9" s="38" t="inlineStr">
        <is>
          <t>LC 322 needs DP; greedy only works for canonical coins</t>
        </is>
      </c>
      <c r="D9" s="38" t="inlineStr">
        <is>
          <t>Greedy version on GFG (Day 87); LC 322 with DP (Day 91).</t>
        </is>
      </c>
    </row>
    <row r="10">
      <c r="A10" s="38" t="inlineStr">
        <is>
          <t>Search in Sorted Matrix (P7B #6)</t>
        </is>
      </c>
      <c r="B10" s="38" t="inlineStr">
        <is>
          <t>O(m + log n)</t>
        </is>
      </c>
      <c r="C10" s="38" t="inlineStr">
        <is>
          <t>Staircase search is O(m + n)</t>
        </is>
      </c>
      <c r="D10" s="38" t="inlineStr">
        <is>
          <t>Corrected complexity on Day 49.</t>
        </is>
      </c>
    </row>
    <row r="11">
      <c r="A11" s="38" t="inlineStr">
        <is>
          <t>Subarray with Given Sum K (P4 #5)</t>
        </is>
      </c>
      <c r="B11" s="38" t="inlineStr">
        <is>
          <t>LC 325</t>
        </is>
      </c>
      <c r="C11" s="38" t="inlineStr">
        <is>
          <t>LC 325 is Premium</t>
        </is>
      </c>
      <c r="D11" s="38" t="inlineStr">
        <is>
          <t>Free GFG version linked (Day 26).</t>
        </is>
      </c>
    </row>
    <row r="12">
      <c r="A12" s="38" t="inlineStr">
        <is>
          <t>Min Cost to Connect Ropes (P13 #6)</t>
        </is>
      </c>
      <c r="B12" s="38" t="inlineStr">
        <is>
          <t>LC 1167</t>
        </is>
      </c>
      <c r="C12" s="38" t="inlineStr">
        <is>
          <t>LC 1167 is Premium</t>
        </is>
      </c>
      <c r="D12" s="38" t="inlineStr">
        <is>
          <t>Free GFG version linked (Day 85).</t>
        </is>
      </c>
    </row>
    <row r="13">
      <c r="A13" s="38" t="inlineStr">
        <is>
          <t>Duplicates across pages</t>
        </is>
      </c>
      <c r="B13" s="38" t="inlineStr">
        <is>
          <t>LC 1, LC 3, LC 347, MST, Dijkstra repeat</t>
        </is>
      </c>
      <c r="C13" s="38" t="inlineStr">
        <is>
          <t>89 entries ≈ 75 unique problems</t>
        </is>
      </c>
      <c r="D13" s="38" t="inlineStr">
        <is>
          <t>De-duplicated; gaps filled with high-frequency problems marked 'Added'.</t>
        </is>
      </c>
    </row>
    <row r="14">
      <c r="A14" s="38" t="inlineStr">
        <is>
          <t>Missing topic</t>
        </is>
      </c>
      <c r="B14" s="38" t="inlineStr">
        <is>
          <t>—</t>
        </is>
      </c>
      <c r="C14" s="38" t="inlineStr">
        <is>
          <t>Backtracking &amp; design (LRU) not on the sheet but very commonly asked</t>
        </is>
      </c>
      <c r="D14" s="38" t="inlineStr">
        <is>
          <t>Added on Days 98–100 as a capstone.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2026-09-23T17:33:50Z</dcterms:created>
  <dcterms:modified xmlns:dcterms="http://purl.org/dc/terms/" xmlns:xsi="http://www.w3.org/2001/XMLSchema-instance" xsi:type="dcterms:W3CDTF">2026-09-23T17:33:50Z</dcterms:modified>
</cp:coreProperties>
</file>